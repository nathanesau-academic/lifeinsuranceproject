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1475" windowHeight="9540"/>
  </bookViews>
  <sheets>
    <sheet name="PremiumTable" sheetId="1" r:id="rId1"/>
    <sheet name="Graphs" sheetId="2" r:id="rId2"/>
  </sheets>
  <calcPr calcId="145621"/>
</workbook>
</file>

<file path=xl/calcChain.xml><?xml version="1.0" encoding="utf-8"?>
<calcChain xmlns="http://schemas.openxmlformats.org/spreadsheetml/2006/main">
  <c r="BA3" i="1" l="1"/>
  <c r="CF3" i="1" s="1"/>
  <c r="BA4" i="1"/>
  <c r="BA5" i="1"/>
  <c r="CF5" i="1" s="1"/>
  <c r="BA6" i="1"/>
  <c r="BA7" i="1"/>
  <c r="CF7" i="1" s="1"/>
  <c r="BA8" i="1"/>
  <c r="CF8" i="1" s="1"/>
  <c r="BA9" i="1"/>
  <c r="BA10" i="1"/>
  <c r="CF10" i="1" s="1"/>
  <c r="BA11" i="1"/>
  <c r="CF11" i="1" s="1"/>
  <c r="BA12" i="1"/>
  <c r="CF12" i="1" s="1"/>
  <c r="BA13" i="1"/>
  <c r="BA14" i="1"/>
  <c r="CF14" i="1" s="1"/>
  <c r="BA15" i="1"/>
  <c r="CF15" i="1" s="1"/>
  <c r="BA16" i="1"/>
  <c r="CF16" i="1" s="1"/>
  <c r="BA17" i="1"/>
  <c r="BA18" i="1"/>
  <c r="CF18" i="1" s="1"/>
  <c r="BA19" i="1"/>
  <c r="CF19" i="1" s="1"/>
  <c r="BA20" i="1"/>
  <c r="CF20" i="1" s="1"/>
  <c r="BA21" i="1"/>
  <c r="BA22" i="1"/>
  <c r="CF22" i="1" s="1"/>
  <c r="BA23" i="1"/>
  <c r="CF23" i="1" s="1"/>
  <c r="BA24" i="1"/>
  <c r="CF24" i="1" s="1"/>
  <c r="BA25" i="1"/>
  <c r="BA26" i="1"/>
  <c r="CF26" i="1" s="1"/>
  <c r="BA27" i="1"/>
  <c r="CF27" i="1" s="1"/>
  <c r="BA28" i="1"/>
  <c r="CF28" i="1" s="1"/>
  <c r="BA29" i="1"/>
  <c r="BA30" i="1"/>
  <c r="CF30" i="1" s="1"/>
  <c r="BA31" i="1"/>
  <c r="CF31" i="1" s="1"/>
  <c r="BA32" i="1"/>
  <c r="CF32" i="1" s="1"/>
  <c r="BA33" i="1"/>
  <c r="BA34" i="1"/>
  <c r="CF34" i="1" s="1"/>
  <c r="BA35" i="1"/>
  <c r="CF35" i="1" s="1"/>
  <c r="BA36" i="1"/>
  <c r="CF36" i="1" s="1"/>
  <c r="BA37" i="1"/>
  <c r="BA38" i="1"/>
  <c r="CF38" i="1" s="1"/>
  <c r="BA39" i="1"/>
  <c r="CF39" i="1" s="1"/>
  <c r="BA40" i="1"/>
  <c r="CF40" i="1" s="1"/>
  <c r="BA41" i="1"/>
  <c r="BA2" i="1"/>
  <c r="CF2" i="1" s="1"/>
  <c r="CG3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2" i="1"/>
  <c r="CF9" i="1"/>
  <c r="CF13" i="1"/>
  <c r="CF17" i="1"/>
  <c r="CF21" i="1"/>
  <c r="CF25" i="1"/>
  <c r="CF29" i="1"/>
  <c r="CF33" i="1"/>
  <c r="CF37" i="1"/>
  <c r="CF41" i="1"/>
  <c r="CF4" i="1"/>
  <c r="CF6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2" i="1"/>
  <c r="BA42" i="1" l="1"/>
  <c r="CF42" i="1" s="1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2" i="1"/>
  <c r="BG15" i="1"/>
  <c r="BV15" i="1" s="1"/>
  <c r="BH15" i="1"/>
  <c r="BR15" i="1" s="1"/>
  <c r="BG16" i="1"/>
  <c r="BH16" i="1"/>
  <c r="BR16" i="1" s="1"/>
  <c r="BG17" i="1"/>
  <c r="BH17" i="1"/>
  <c r="BR17" i="1" s="1"/>
  <c r="BG18" i="1"/>
  <c r="BH18" i="1"/>
  <c r="BR18" i="1" s="1"/>
  <c r="BG19" i="1"/>
  <c r="BV19" i="1" s="1"/>
  <c r="BH19" i="1"/>
  <c r="BR19" i="1" s="1"/>
  <c r="BG20" i="1"/>
  <c r="BH20" i="1"/>
  <c r="BR20" i="1" s="1"/>
  <c r="BG21" i="1"/>
  <c r="BH21" i="1"/>
  <c r="BR21" i="1" s="1"/>
  <c r="BG22" i="1"/>
  <c r="BH22" i="1"/>
  <c r="BR22" i="1" s="1"/>
  <c r="BG23" i="1"/>
  <c r="BV23" i="1" s="1"/>
  <c r="BH23" i="1"/>
  <c r="BR23" i="1" s="1"/>
  <c r="BG24" i="1"/>
  <c r="BH24" i="1"/>
  <c r="BR24" i="1" s="1"/>
  <c r="BG25" i="1"/>
  <c r="BH25" i="1"/>
  <c r="BR25" i="1" s="1"/>
  <c r="BG26" i="1"/>
  <c r="BH26" i="1"/>
  <c r="BR26" i="1" s="1"/>
  <c r="BG27" i="1"/>
  <c r="BV27" i="1" s="1"/>
  <c r="BH27" i="1"/>
  <c r="BR27" i="1" s="1"/>
  <c r="BG28" i="1"/>
  <c r="BH28" i="1"/>
  <c r="BR28" i="1" s="1"/>
  <c r="BG29" i="1"/>
  <c r="BH29" i="1"/>
  <c r="BR29" i="1" s="1"/>
  <c r="BG30" i="1"/>
  <c r="BH30" i="1"/>
  <c r="BR30" i="1" s="1"/>
  <c r="BG31" i="1"/>
  <c r="BV31" i="1" s="1"/>
  <c r="BH31" i="1"/>
  <c r="BR31" i="1" s="1"/>
  <c r="BG32" i="1"/>
  <c r="BH32" i="1"/>
  <c r="BR32" i="1" s="1"/>
  <c r="BG33" i="1"/>
  <c r="BH33" i="1"/>
  <c r="BR33" i="1" s="1"/>
  <c r="BG34" i="1"/>
  <c r="BH34" i="1"/>
  <c r="BR34" i="1" s="1"/>
  <c r="BG35" i="1"/>
  <c r="BV35" i="1" s="1"/>
  <c r="BH35" i="1"/>
  <c r="BR35" i="1" s="1"/>
  <c r="BG36" i="1"/>
  <c r="BH36" i="1"/>
  <c r="BR36" i="1" s="1"/>
  <c r="BG37" i="1"/>
  <c r="BV37" i="1" s="1"/>
  <c r="BH37" i="1"/>
  <c r="BR37" i="1" s="1"/>
  <c r="BG38" i="1"/>
  <c r="BH38" i="1"/>
  <c r="BR38" i="1" s="1"/>
  <c r="BG39" i="1"/>
  <c r="BV39" i="1" s="1"/>
  <c r="BH39" i="1"/>
  <c r="BR39" i="1" s="1"/>
  <c r="BG40" i="1"/>
  <c r="BH40" i="1"/>
  <c r="BR40" i="1" s="1"/>
  <c r="BG41" i="1"/>
  <c r="BV41" i="1" s="1"/>
  <c r="BH41" i="1"/>
  <c r="BR41" i="1" s="1"/>
  <c r="BG42" i="1"/>
  <c r="BH42" i="1"/>
  <c r="BR42" i="1" s="1"/>
  <c r="BH3" i="1"/>
  <c r="BR3" i="1" s="1"/>
  <c r="BH4" i="1"/>
  <c r="BR4" i="1" s="1"/>
  <c r="BH5" i="1"/>
  <c r="BR5" i="1" s="1"/>
  <c r="BH6" i="1"/>
  <c r="BR6" i="1" s="1"/>
  <c r="BH7" i="1"/>
  <c r="BR7" i="1" s="1"/>
  <c r="BH8" i="1"/>
  <c r="BR8" i="1" s="1"/>
  <c r="BH9" i="1"/>
  <c r="BR9" i="1" s="1"/>
  <c r="BH10" i="1"/>
  <c r="BR10" i="1" s="1"/>
  <c r="BH11" i="1"/>
  <c r="BR11" i="1" s="1"/>
  <c r="BH12" i="1"/>
  <c r="BR12" i="1" s="1"/>
  <c r="BH13" i="1"/>
  <c r="BR13" i="1" s="1"/>
  <c r="BH14" i="1"/>
  <c r="BR14" i="1" s="1"/>
  <c r="BH2" i="1"/>
  <c r="BR2" i="1" s="1"/>
  <c r="BG3" i="1"/>
  <c r="BV3" i="1" s="1"/>
  <c r="BG4" i="1"/>
  <c r="BG5" i="1"/>
  <c r="BV5" i="1" s="1"/>
  <c r="BG6" i="1"/>
  <c r="BG7" i="1"/>
  <c r="BV7" i="1" s="1"/>
  <c r="BG8" i="1"/>
  <c r="BG9" i="1"/>
  <c r="BV9" i="1" s="1"/>
  <c r="BG10" i="1"/>
  <c r="BG11" i="1"/>
  <c r="BV11" i="1" s="1"/>
  <c r="BG12" i="1"/>
  <c r="BG13" i="1"/>
  <c r="BV13" i="1" s="1"/>
  <c r="BG14" i="1"/>
  <c r="BG2" i="1"/>
  <c r="BV2" i="1" s="1"/>
  <c r="BS12" i="1" l="1"/>
  <c r="CB12" i="1"/>
  <c r="BS10" i="1"/>
  <c r="CB10" i="1"/>
  <c r="BS42" i="1"/>
  <c r="CB42" i="1"/>
  <c r="BS38" i="1"/>
  <c r="CB38" i="1"/>
  <c r="BS34" i="1"/>
  <c r="CB34" i="1"/>
  <c r="BS30" i="1"/>
  <c r="CB30" i="1"/>
  <c r="BS26" i="1"/>
  <c r="CB26" i="1"/>
  <c r="BS22" i="1"/>
  <c r="CB22" i="1"/>
  <c r="BS13" i="1"/>
  <c r="CB13" i="1"/>
  <c r="BS9" i="1"/>
  <c r="CB9" i="1"/>
  <c r="BS5" i="1"/>
  <c r="CB5" i="1"/>
  <c r="BS4" i="1"/>
  <c r="CB4" i="1"/>
  <c r="BS39" i="1"/>
  <c r="CB39" i="1"/>
  <c r="BS35" i="1"/>
  <c r="CB35" i="1"/>
  <c r="BS31" i="1"/>
  <c r="CB31" i="1"/>
  <c r="BS27" i="1"/>
  <c r="CB27" i="1"/>
  <c r="BS25" i="1"/>
  <c r="CB25" i="1"/>
  <c r="BS23" i="1"/>
  <c r="CB23" i="1"/>
  <c r="BS21" i="1"/>
  <c r="CB21" i="1"/>
  <c r="BS19" i="1"/>
  <c r="CB19" i="1"/>
  <c r="BS17" i="1"/>
  <c r="CB17" i="1"/>
  <c r="BS15" i="1"/>
  <c r="CB15" i="1"/>
  <c r="BS8" i="1"/>
  <c r="CB8" i="1"/>
  <c r="BS41" i="1"/>
  <c r="CB41" i="1"/>
  <c r="BS37" i="1"/>
  <c r="CB37" i="1"/>
  <c r="BS33" i="1"/>
  <c r="CB33" i="1"/>
  <c r="BS29" i="1"/>
  <c r="CB29" i="1"/>
  <c r="CB2" i="1"/>
  <c r="BS2" i="1"/>
  <c r="BS11" i="1"/>
  <c r="CB11" i="1"/>
  <c r="BS7" i="1"/>
  <c r="CB7" i="1"/>
  <c r="BS3" i="1"/>
  <c r="CB3" i="1"/>
  <c r="BS14" i="1"/>
  <c r="CB14" i="1"/>
  <c r="BS6" i="1"/>
  <c r="CB6" i="1"/>
  <c r="BS40" i="1"/>
  <c r="CB40" i="1"/>
  <c r="BS36" i="1"/>
  <c r="CB36" i="1"/>
  <c r="BS32" i="1"/>
  <c r="CB32" i="1"/>
  <c r="BS28" i="1"/>
  <c r="CB28" i="1"/>
  <c r="BS24" i="1"/>
  <c r="CB24" i="1"/>
  <c r="BS20" i="1"/>
  <c r="CB20" i="1"/>
  <c r="BS18" i="1"/>
  <c r="CB18" i="1"/>
  <c r="BS16" i="1"/>
  <c r="CB16" i="1"/>
  <c r="BV40" i="1"/>
  <c r="BV36" i="1"/>
  <c r="BV32" i="1"/>
  <c r="BV28" i="1"/>
  <c r="BV24" i="1"/>
  <c r="BV20" i="1"/>
  <c r="BV16" i="1"/>
  <c r="BV12" i="1"/>
  <c r="BV8" i="1"/>
  <c r="BV4" i="1"/>
  <c r="BV33" i="1"/>
  <c r="BV29" i="1"/>
  <c r="BV25" i="1"/>
  <c r="BV21" i="1"/>
  <c r="BV17" i="1"/>
  <c r="BV42" i="1"/>
  <c r="BV38" i="1"/>
  <c r="BV34" i="1"/>
  <c r="BV30" i="1"/>
  <c r="BV26" i="1"/>
  <c r="BV22" i="1"/>
  <c r="BV18" i="1"/>
  <c r="BV14" i="1"/>
  <c r="BV10" i="1"/>
  <c r="BV6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2" i="1"/>
  <c r="AH47" i="1"/>
  <c r="AH46" i="1"/>
  <c r="AH45" i="1"/>
  <c r="AH44" i="1"/>
  <c r="AH43" i="1"/>
  <c r="AH4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2" i="1"/>
  <c r="Q101" i="1" l="1"/>
  <c r="P101" i="1"/>
  <c r="L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U99" i="1" s="1"/>
  <c r="G100" i="1"/>
  <c r="G101" i="1"/>
  <c r="G102" i="1"/>
  <c r="G2" i="1"/>
  <c r="F3" i="1"/>
  <c r="BW3" i="1" s="1"/>
  <c r="F4" i="1"/>
  <c r="BW4" i="1" s="1"/>
  <c r="F5" i="1"/>
  <c r="BW5" i="1" s="1"/>
  <c r="F6" i="1"/>
  <c r="BW6" i="1" s="1"/>
  <c r="F7" i="1"/>
  <c r="BW7" i="1" s="1"/>
  <c r="F8" i="1"/>
  <c r="BW8" i="1" s="1"/>
  <c r="F9" i="1"/>
  <c r="BW9" i="1" s="1"/>
  <c r="F10" i="1"/>
  <c r="F11" i="1"/>
  <c r="BW11" i="1" s="1"/>
  <c r="F12" i="1"/>
  <c r="BW12" i="1" s="1"/>
  <c r="F13" i="1"/>
  <c r="BW13" i="1" s="1"/>
  <c r="F14" i="1"/>
  <c r="F15" i="1"/>
  <c r="BW15" i="1" s="1"/>
  <c r="F16" i="1"/>
  <c r="F17" i="1"/>
  <c r="BW17" i="1" s="1"/>
  <c r="F18" i="1"/>
  <c r="F19" i="1"/>
  <c r="BW19" i="1" s="1"/>
  <c r="F20" i="1"/>
  <c r="BW20" i="1" s="1"/>
  <c r="F21" i="1"/>
  <c r="BW21" i="1" s="1"/>
  <c r="F22" i="1"/>
  <c r="BW22" i="1" s="1"/>
  <c r="F23" i="1"/>
  <c r="BW23" i="1" s="1"/>
  <c r="F24" i="1"/>
  <c r="BW24" i="1" s="1"/>
  <c r="F25" i="1"/>
  <c r="BW25" i="1" s="1"/>
  <c r="F26" i="1"/>
  <c r="F27" i="1"/>
  <c r="BW27" i="1" s="1"/>
  <c r="F28" i="1"/>
  <c r="BW28" i="1" s="1"/>
  <c r="F29" i="1"/>
  <c r="BW29" i="1" s="1"/>
  <c r="F30" i="1"/>
  <c r="F31" i="1"/>
  <c r="BW31" i="1" s="1"/>
  <c r="F32" i="1"/>
  <c r="F33" i="1"/>
  <c r="BW33" i="1" s="1"/>
  <c r="F34" i="1"/>
  <c r="F35" i="1"/>
  <c r="BW35" i="1" s="1"/>
  <c r="F36" i="1"/>
  <c r="BW36" i="1" s="1"/>
  <c r="F37" i="1"/>
  <c r="BW37" i="1" s="1"/>
  <c r="F38" i="1"/>
  <c r="BW38" i="1" s="1"/>
  <c r="F39" i="1"/>
  <c r="BW39" i="1" s="1"/>
  <c r="F40" i="1"/>
  <c r="BW40" i="1" s="1"/>
  <c r="F41" i="1"/>
  <c r="BW41" i="1" s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2" i="1"/>
  <c r="BW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P100" i="1" s="1"/>
  <c r="E101" i="1"/>
  <c r="E102" i="1"/>
  <c r="E2" i="1"/>
  <c r="L3" i="1" s="1"/>
  <c r="L4" i="1" s="1"/>
  <c r="L5" i="1" s="1"/>
  <c r="K5" i="1" s="1"/>
  <c r="AU42" i="1" l="1"/>
  <c r="BW42" i="1"/>
  <c r="AU34" i="1"/>
  <c r="BW34" i="1"/>
  <c r="AU30" i="1"/>
  <c r="BW30" i="1"/>
  <c r="AU26" i="1"/>
  <c r="BW26" i="1"/>
  <c r="AU18" i="1"/>
  <c r="BW18" i="1"/>
  <c r="AU14" i="1"/>
  <c r="BW14" i="1"/>
  <c r="AU10" i="1"/>
  <c r="BW10" i="1"/>
  <c r="AU32" i="1"/>
  <c r="BW32" i="1"/>
  <c r="AU16" i="1"/>
  <c r="BW16" i="1"/>
  <c r="AU2" i="1"/>
  <c r="AU31" i="1"/>
  <c r="AU27" i="1"/>
  <c r="AU15" i="1"/>
  <c r="AU11" i="1"/>
  <c r="Z97" i="1"/>
  <c r="AA97" i="1"/>
  <c r="Z93" i="1"/>
  <c r="AB93" i="1"/>
  <c r="AC93" i="1"/>
  <c r="AA93" i="1"/>
  <c r="AE89" i="1"/>
  <c r="Z89" i="1"/>
  <c r="AB89" i="1"/>
  <c r="AD89" i="1"/>
  <c r="AC89" i="1"/>
  <c r="AA89" i="1"/>
  <c r="AE85" i="1"/>
  <c r="Z85" i="1"/>
  <c r="AB85" i="1"/>
  <c r="AD85" i="1"/>
  <c r="AC85" i="1"/>
  <c r="AA85" i="1"/>
  <c r="AE81" i="1"/>
  <c r="Z81" i="1"/>
  <c r="AB81" i="1"/>
  <c r="AD81" i="1"/>
  <c r="AC81" i="1"/>
  <c r="AA81" i="1"/>
  <c r="AE77" i="1"/>
  <c r="Z77" i="1"/>
  <c r="AB77" i="1"/>
  <c r="AD77" i="1"/>
  <c r="AC77" i="1"/>
  <c r="AA77" i="1"/>
  <c r="AE73" i="1"/>
  <c r="Z73" i="1"/>
  <c r="AB73" i="1"/>
  <c r="AD73" i="1"/>
  <c r="AC73" i="1"/>
  <c r="AA73" i="1"/>
  <c r="AE69" i="1"/>
  <c r="Z69" i="1"/>
  <c r="AB69" i="1"/>
  <c r="AD69" i="1"/>
  <c r="AC69" i="1"/>
  <c r="AA69" i="1"/>
  <c r="AE65" i="1"/>
  <c r="Z65" i="1"/>
  <c r="AB65" i="1"/>
  <c r="AD65" i="1"/>
  <c r="AC65" i="1"/>
  <c r="AA65" i="1"/>
  <c r="AE61" i="1"/>
  <c r="Z61" i="1"/>
  <c r="AB61" i="1"/>
  <c r="AD61" i="1"/>
  <c r="AC61" i="1"/>
  <c r="AA61" i="1"/>
  <c r="AE57" i="1"/>
  <c r="Z57" i="1"/>
  <c r="AB57" i="1"/>
  <c r="AD57" i="1"/>
  <c r="AC57" i="1"/>
  <c r="AA57" i="1"/>
  <c r="AE53" i="1"/>
  <c r="Z53" i="1"/>
  <c r="AA53" i="1"/>
  <c r="AB53" i="1"/>
  <c r="AD53" i="1"/>
  <c r="AC53" i="1"/>
  <c r="AE49" i="1"/>
  <c r="Z49" i="1"/>
  <c r="AB49" i="1"/>
  <c r="AD49" i="1"/>
  <c r="AC49" i="1"/>
  <c r="AA49" i="1"/>
  <c r="AE45" i="1"/>
  <c r="Z45" i="1"/>
  <c r="AA45" i="1"/>
  <c r="AB45" i="1"/>
  <c r="AD45" i="1"/>
  <c r="AC45" i="1"/>
  <c r="AU41" i="1"/>
  <c r="AI41" i="1"/>
  <c r="AE41" i="1"/>
  <c r="Z41" i="1"/>
  <c r="AB41" i="1"/>
  <c r="AD41" i="1"/>
  <c r="AC41" i="1"/>
  <c r="AA41" i="1"/>
  <c r="AU37" i="1"/>
  <c r="AI37" i="1"/>
  <c r="AE37" i="1"/>
  <c r="Z37" i="1"/>
  <c r="AA37" i="1"/>
  <c r="AB37" i="1"/>
  <c r="AD37" i="1"/>
  <c r="AC37" i="1"/>
  <c r="AU33" i="1"/>
  <c r="AI33" i="1"/>
  <c r="AE33" i="1"/>
  <c r="Z33" i="1"/>
  <c r="AB33" i="1"/>
  <c r="AD33" i="1"/>
  <c r="AC33" i="1"/>
  <c r="AA33" i="1"/>
  <c r="AU29" i="1"/>
  <c r="AI29" i="1"/>
  <c r="AE29" i="1"/>
  <c r="Z29" i="1"/>
  <c r="AA29" i="1"/>
  <c r="AB29" i="1"/>
  <c r="AD29" i="1"/>
  <c r="AC29" i="1"/>
  <c r="AU25" i="1"/>
  <c r="AI25" i="1"/>
  <c r="AE25" i="1"/>
  <c r="Z25" i="1"/>
  <c r="AB25" i="1"/>
  <c r="AD25" i="1"/>
  <c r="AC25" i="1"/>
  <c r="AA25" i="1"/>
  <c r="AU21" i="1"/>
  <c r="AA21" i="1"/>
  <c r="AI21" i="1"/>
  <c r="AE21" i="1"/>
  <c r="Z21" i="1"/>
  <c r="AB21" i="1"/>
  <c r="AD21" i="1"/>
  <c r="AC21" i="1"/>
  <c r="AA17" i="1"/>
  <c r="AU17" i="1"/>
  <c r="AI17" i="1"/>
  <c r="AE17" i="1"/>
  <c r="Z17" i="1"/>
  <c r="AB17" i="1"/>
  <c r="AD17" i="1"/>
  <c r="AC17" i="1"/>
  <c r="AA13" i="1"/>
  <c r="AU13" i="1"/>
  <c r="AI13" i="1"/>
  <c r="AE13" i="1"/>
  <c r="Z13" i="1"/>
  <c r="AB13" i="1"/>
  <c r="AD13" i="1"/>
  <c r="AC13" i="1"/>
  <c r="AU9" i="1"/>
  <c r="AA9" i="1"/>
  <c r="AI9" i="1"/>
  <c r="AE9" i="1"/>
  <c r="Z9" i="1"/>
  <c r="AB9" i="1"/>
  <c r="AD9" i="1"/>
  <c r="AC9" i="1"/>
  <c r="AU5" i="1"/>
  <c r="AA5" i="1"/>
  <c r="AI5" i="1"/>
  <c r="AE5" i="1"/>
  <c r="Z5" i="1"/>
  <c r="AB5" i="1"/>
  <c r="AD5" i="1"/>
  <c r="AC5" i="1"/>
  <c r="Z96" i="1"/>
  <c r="AA96" i="1"/>
  <c r="Z92" i="1"/>
  <c r="AB92" i="1"/>
  <c r="AC92" i="1"/>
  <c r="AA92" i="1"/>
  <c r="AE88" i="1"/>
  <c r="Z88" i="1"/>
  <c r="AB88" i="1"/>
  <c r="AD88" i="1"/>
  <c r="AC88" i="1"/>
  <c r="AA88" i="1"/>
  <c r="AE84" i="1"/>
  <c r="Z84" i="1"/>
  <c r="AB84" i="1"/>
  <c r="AD84" i="1"/>
  <c r="AC84" i="1"/>
  <c r="AA84" i="1"/>
  <c r="AE80" i="1"/>
  <c r="Z80" i="1"/>
  <c r="AB80" i="1"/>
  <c r="AD80" i="1"/>
  <c r="AC80" i="1"/>
  <c r="AA80" i="1"/>
  <c r="AE76" i="1"/>
  <c r="Z76" i="1"/>
  <c r="AB76" i="1"/>
  <c r="AD76" i="1"/>
  <c r="AC76" i="1"/>
  <c r="AA76" i="1"/>
  <c r="AE72" i="1"/>
  <c r="Z72" i="1"/>
  <c r="AB72" i="1"/>
  <c r="AD72" i="1"/>
  <c r="AC72" i="1"/>
  <c r="AA72" i="1"/>
  <c r="AE68" i="1"/>
  <c r="Z68" i="1"/>
  <c r="AB68" i="1"/>
  <c r="AD68" i="1"/>
  <c r="AC68" i="1"/>
  <c r="AA68" i="1"/>
  <c r="AE64" i="1"/>
  <c r="Z64" i="1"/>
  <c r="AB64" i="1"/>
  <c r="AD64" i="1"/>
  <c r="AC64" i="1"/>
  <c r="AA64" i="1"/>
  <c r="AE60" i="1"/>
  <c r="Z60" i="1"/>
  <c r="AB60" i="1"/>
  <c r="AD60" i="1"/>
  <c r="AC60" i="1"/>
  <c r="AA60" i="1"/>
  <c r="AE56" i="1"/>
  <c r="Z56" i="1"/>
  <c r="AB56" i="1"/>
  <c r="AD56" i="1"/>
  <c r="AC56" i="1"/>
  <c r="AA56" i="1"/>
  <c r="AE52" i="1"/>
  <c r="Z52" i="1"/>
  <c r="AA52" i="1"/>
  <c r="AB52" i="1"/>
  <c r="AD52" i="1"/>
  <c r="AC52" i="1"/>
  <c r="AE48" i="1"/>
  <c r="Z48" i="1"/>
  <c r="AB48" i="1"/>
  <c r="AD48" i="1"/>
  <c r="AC48" i="1"/>
  <c r="AA48" i="1"/>
  <c r="AE44" i="1"/>
  <c r="Z44" i="1"/>
  <c r="AA44" i="1"/>
  <c r="AB44" i="1"/>
  <c r="AD44" i="1"/>
  <c r="AC44" i="1"/>
  <c r="AI40" i="1"/>
  <c r="AE40" i="1"/>
  <c r="Z40" i="1"/>
  <c r="AB40" i="1"/>
  <c r="AD40" i="1"/>
  <c r="AC40" i="1"/>
  <c r="AA40" i="1"/>
  <c r="AI36" i="1"/>
  <c r="AE36" i="1"/>
  <c r="Z36" i="1"/>
  <c r="AA36" i="1"/>
  <c r="AB36" i="1"/>
  <c r="AD36" i="1"/>
  <c r="AC36" i="1"/>
  <c r="AI32" i="1"/>
  <c r="AE32" i="1"/>
  <c r="Z32" i="1"/>
  <c r="AB32" i="1"/>
  <c r="AD32" i="1"/>
  <c r="AC32" i="1"/>
  <c r="AA32" i="1"/>
  <c r="AI28" i="1"/>
  <c r="AE28" i="1"/>
  <c r="Z28" i="1"/>
  <c r="AA28" i="1"/>
  <c r="AB28" i="1"/>
  <c r="AD28" i="1"/>
  <c r="AC28" i="1"/>
  <c r="AI24" i="1"/>
  <c r="AE24" i="1"/>
  <c r="Z24" i="1"/>
  <c r="AB24" i="1"/>
  <c r="AD24" i="1"/>
  <c r="AC24" i="1"/>
  <c r="AA24" i="1"/>
  <c r="AA20" i="1"/>
  <c r="AI20" i="1"/>
  <c r="AE20" i="1"/>
  <c r="Z20" i="1"/>
  <c r="AB20" i="1"/>
  <c r="AD20" i="1"/>
  <c r="AC20" i="1"/>
  <c r="AA16" i="1"/>
  <c r="AI16" i="1"/>
  <c r="AE16" i="1"/>
  <c r="Z16" i="1"/>
  <c r="AB16" i="1"/>
  <c r="AD16" i="1"/>
  <c r="AC16" i="1"/>
  <c r="AA12" i="1"/>
  <c r="AI12" i="1"/>
  <c r="AE12" i="1"/>
  <c r="Z12" i="1"/>
  <c r="AB12" i="1"/>
  <c r="AD12" i="1"/>
  <c r="AC12" i="1"/>
  <c r="AA8" i="1"/>
  <c r="AI8" i="1"/>
  <c r="AE8" i="1"/>
  <c r="Z8" i="1"/>
  <c r="AB8" i="1"/>
  <c r="AD8" i="1"/>
  <c r="AC8" i="1"/>
  <c r="AA4" i="1"/>
  <c r="AI4" i="1"/>
  <c r="AE4" i="1"/>
  <c r="Z4" i="1"/>
  <c r="AB4" i="1"/>
  <c r="AD4" i="1"/>
  <c r="AC4" i="1"/>
  <c r="AU4" i="1"/>
  <c r="AU20" i="1"/>
  <c r="AU36" i="1"/>
  <c r="AI2" i="1"/>
  <c r="AE2" i="1"/>
  <c r="Z2" i="1"/>
  <c r="AC2" i="1"/>
  <c r="AA2" i="1"/>
  <c r="AB2" i="1"/>
  <c r="AD2" i="1"/>
  <c r="Z99" i="1"/>
  <c r="AA99" i="1"/>
  <c r="Z95" i="1"/>
  <c r="AA95" i="1"/>
  <c r="Z91" i="1"/>
  <c r="AC91" i="1"/>
  <c r="AA91" i="1"/>
  <c r="AB91" i="1"/>
  <c r="AE87" i="1"/>
  <c r="Z87" i="1"/>
  <c r="AD87" i="1"/>
  <c r="AC87" i="1"/>
  <c r="AA87" i="1"/>
  <c r="AB87" i="1"/>
  <c r="AE83" i="1"/>
  <c r="Z83" i="1"/>
  <c r="AD83" i="1"/>
  <c r="AC83" i="1"/>
  <c r="AA83" i="1"/>
  <c r="AB83" i="1"/>
  <c r="AE79" i="1"/>
  <c r="Z79" i="1"/>
  <c r="AD79" i="1"/>
  <c r="AC79" i="1"/>
  <c r="AA79" i="1"/>
  <c r="AB79" i="1"/>
  <c r="AE75" i="1"/>
  <c r="Z75" i="1"/>
  <c r="AD75" i="1"/>
  <c r="AC75" i="1"/>
  <c r="AA75" i="1"/>
  <c r="AB75" i="1"/>
  <c r="AE71" i="1"/>
  <c r="Z71" i="1"/>
  <c r="AD71" i="1"/>
  <c r="AC71" i="1"/>
  <c r="AA71" i="1"/>
  <c r="AB71" i="1"/>
  <c r="AE67" i="1"/>
  <c r="Z67" i="1"/>
  <c r="AD67" i="1"/>
  <c r="AC67" i="1"/>
  <c r="AA67" i="1"/>
  <c r="AB67" i="1"/>
  <c r="AE63" i="1"/>
  <c r="Z63" i="1"/>
  <c r="AD63" i="1"/>
  <c r="AC63" i="1"/>
  <c r="AA63" i="1"/>
  <c r="AB63" i="1"/>
  <c r="AE59" i="1"/>
  <c r="Z59" i="1"/>
  <c r="AD59" i="1"/>
  <c r="AC59" i="1"/>
  <c r="AA59" i="1"/>
  <c r="AB59" i="1"/>
  <c r="AE55" i="1"/>
  <c r="Z55" i="1"/>
  <c r="AA55" i="1"/>
  <c r="AD55" i="1"/>
  <c r="AC55" i="1"/>
  <c r="AB55" i="1"/>
  <c r="AE51" i="1"/>
  <c r="Z51" i="1"/>
  <c r="AA51" i="1"/>
  <c r="AD51" i="1"/>
  <c r="AC51" i="1"/>
  <c r="AB51" i="1"/>
  <c r="AE47" i="1"/>
  <c r="Z47" i="1"/>
  <c r="AA47" i="1"/>
  <c r="AD47" i="1"/>
  <c r="AC47" i="1"/>
  <c r="AB47" i="1"/>
  <c r="AE43" i="1"/>
  <c r="Z43" i="1"/>
  <c r="AA43" i="1"/>
  <c r="AD43" i="1"/>
  <c r="AC43" i="1"/>
  <c r="AB43" i="1"/>
  <c r="AI39" i="1"/>
  <c r="AE39" i="1"/>
  <c r="Z39" i="1"/>
  <c r="AA39" i="1"/>
  <c r="AD39" i="1"/>
  <c r="AC39" i="1"/>
  <c r="AB39" i="1"/>
  <c r="AI35" i="1"/>
  <c r="AE35" i="1"/>
  <c r="Z35" i="1"/>
  <c r="AA35" i="1"/>
  <c r="AD35" i="1"/>
  <c r="AC35" i="1"/>
  <c r="AB35" i="1"/>
  <c r="AI31" i="1"/>
  <c r="AE31" i="1"/>
  <c r="Z31" i="1"/>
  <c r="AA31" i="1"/>
  <c r="AD31" i="1"/>
  <c r="AC31" i="1"/>
  <c r="AB31" i="1"/>
  <c r="AI27" i="1"/>
  <c r="AE27" i="1"/>
  <c r="Z27" i="1"/>
  <c r="AA27" i="1"/>
  <c r="AD27" i="1"/>
  <c r="AC27" i="1"/>
  <c r="AB27" i="1"/>
  <c r="AI23" i="1"/>
  <c r="AE23" i="1"/>
  <c r="Z23" i="1"/>
  <c r="AA23" i="1"/>
  <c r="AD23" i="1"/>
  <c r="AC23" i="1"/>
  <c r="AB23" i="1"/>
  <c r="AI19" i="1"/>
  <c r="AE19" i="1"/>
  <c r="Z19" i="1"/>
  <c r="AA19" i="1"/>
  <c r="AD19" i="1"/>
  <c r="AC19" i="1"/>
  <c r="AB19" i="1"/>
  <c r="AI15" i="1"/>
  <c r="AE15" i="1"/>
  <c r="Z15" i="1"/>
  <c r="AA15" i="1"/>
  <c r="AD15" i="1"/>
  <c r="AC15" i="1"/>
  <c r="AB15" i="1"/>
  <c r="AI11" i="1"/>
  <c r="AE11" i="1"/>
  <c r="Z11" i="1"/>
  <c r="AA11" i="1"/>
  <c r="AD11" i="1"/>
  <c r="AC11" i="1"/>
  <c r="AB11" i="1"/>
  <c r="AI7" i="1"/>
  <c r="AE7" i="1"/>
  <c r="Z7" i="1"/>
  <c r="AA7" i="1"/>
  <c r="AD7" i="1"/>
  <c r="AC7" i="1"/>
  <c r="AB7" i="1"/>
  <c r="AI3" i="1"/>
  <c r="AE3" i="1"/>
  <c r="Z3" i="1"/>
  <c r="AA3" i="1"/>
  <c r="AD3" i="1"/>
  <c r="AC3" i="1"/>
  <c r="AB3" i="1"/>
  <c r="AU3" i="1"/>
  <c r="AU19" i="1"/>
  <c r="AU35" i="1"/>
  <c r="AU8" i="1"/>
  <c r="AU24" i="1"/>
  <c r="AU40" i="1"/>
  <c r="Z98" i="1"/>
  <c r="AA98" i="1"/>
  <c r="Z94" i="1"/>
  <c r="AA94" i="1"/>
  <c r="AB94" i="1"/>
  <c r="AC94" i="1"/>
  <c r="Z90" i="1"/>
  <c r="AA90" i="1"/>
  <c r="AB90" i="1"/>
  <c r="AC90" i="1"/>
  <c r="AE86" i="1"/>
  <c r="Z86" i="1"/>
  <c r="AA86" i="1"/>
  <c r="AB86" i="1"/>
  <c r="AD86" i="1"/>
  <c r="AC86" i="1"/>
  <c r="AE82" i="1"/>
  <c r="Z82" i="1"/>
  <c r="AA82" i="1"/>
  <c r="AB82" i="1"/>
  <c r="AC82" i="1"/>
  <c r="AD82" i="1"/>
  <c r="AE78" i="1"/>
  <c r="Z78" i="1"/>
  <c r="AA78" i="1"/>
  <c r="AB78" i="1"/>
  <c r="AC78" i="1"/>
  <c r="AD78" i="1"/>
  <c r="AE74" i="1"/>
  <c r="Z74" i="1"/>
  <c r="AA74" i="1"/>
  <c r="AB74" i="1"/>
  <c r="AD74" i="1"/>
  <c r="AC74" i="1"/>
  <c r="AE70" i="1"/>
  <c r="Z70" i="1"/>
  <c r="AA70" i="1"/>
  <c r="AB70" i="1"/>
  <c r="AD70" i="1"/>
  <c r="AC70" i="1"/>
  <c r="AE66" i="1"/>
  <c r="Z66" i="1"/>
  <c r="AA66" i="1"/>
  <c r="AB66" i="1"/>
  <c r="AC66" i="1"/>
  <c r="AD66" i="1"/>
  <c r="AE62" i="1"/>
  <c r="Z62" i="1"/>
  <c r="AA62" i="1"/>
  <c r="AB62" i="1"/>
  <c r="AC62" i="1"/>
  <c r="AD62" i="1"/>
  <c r="AE58" i="1"/>
  <c r="Z58" i="1"/>
  <c r="AA58" i="1"/>
  <c r="AB58" i="1"/>
  <c r="AD58" i="1"/>
  <c r="AC58" i="1"/>
  <c r="AE54" i="1"/>
  <c r="Z54" i="1"/>
  <c r="AA54" i="1"/>
  <c r="AB54" i="1"/>
  <c r="AD54" i="1"/>
  <c r="AC54" i="1"/>
  <c r="AE50" i="1"/>
  <c r="Z50" i="1"/>
  <c r="AA50" i="1"/>
  <c r="AB50" i="1"/>
  <c r="AC50" i="1"/>
  <c r="AD50" i="1"/>
  <c r="AE46" i="1"/>
  <c r="Z46" i="1"/>
  <c r="AA46" i="1"/>
  <c r="AB46" i="1"/>
  <c r="AC46" i="1"/>
  <c r="AD46" i="1"/>
  <c r="AI42" i="1"/>
  <c r="AE42" i="1"/>
  <c r="Z42" i="1"/>
  <c r="AA42" i="1"/>
  <c r="AB42" i="1"/>
  <c r="AD42" i="1"/>
  <c r="AC42" i="1"/>
  <c r="AI38" i="1"/>
  <c r="AE38" i="1"/>
  <c r="Z38" i="1"/>
  <c r="AA38" i="1"/>
  <c r="AB38" i="1"/>
  <c r="AD38" i="1"/>
  <c r="AC38" i="1"/>
  <c r="AI34" i="1"/>
  <c r="AE34" i="1"/>
  <c r="Z34" i="1"/>
  <c r="AA34" i="1"/>
  <c r="AD34" i="1"/>
  <c r="AB34" i="1"/>
  <c r="AC34" i="1"/>
  <c r="AI30" i="1"/>
  <c r="AE30" i="1"/>
  <c r="Z30" i="1"/>
  <c r="AA30" i="1"/>
  <c r="AD30" i="1"/>
  <c r="AB30" i="1"/>
  <c r="AC30" i="1"/>
  <c r="AI26" i="1"/>
  <c r="AE26" i="1"/>
  <c r="Z26" i="1"/>
  <c r="AA26" i="1"/>
  <c r="AB26" i="1"/>
  <c r="AD26" i="1"/>
  <c r="AC26" i="1"/>
  <c r="AI22" i="1"/>
  <c r="AE22" i="1"/>
  <c r="Z22" i="1"/>
  <c r="AA22" i="1"/>
  <c r="AB22" i="1"/>
  <c r="AD22" i="1"/>
  <c r="AC22" i="1"/>
  <c r="AI18" i="1"/>
  <c r="AE18" i="1"/>
  <c r="Z18" i="1"/>
  <c r="AA18" i="1"/>
  <c r="AB18" i="1"/>
  <c r="AD18" i="1"/>
  <c r="AC18" i="1"/>
  <c r="AI14" i="1"/>
  <c r="AE14" i="1"/>
  <c r="Z14" i="1"/>
  <c r="AA14" i="1"/>
  <c r="AB14" i="1"/>
  <c r="AD14" i="1"/>
  <c r="AC14" i="1"/>
  <c r="AI10" i="1"/>
  <c r="AE10" i="1"/>
  <c r="Z10" i="1"/>
  <c r="AA10" i="1"/>
  <c r="AB10" i="1"/>
  <c r="AD10" i="1"/>
  <c r="AC10" i="1"/>
  <c r="AI6" i="1"/>
  <c r="AE6" i="1"/>
  <c r="Z6" i="1"/>
  <c r="AA6" i="1"/>
  <c r="AD6" i="1"/>
  <c r="AB6" i="1"/>
  <c r="AC6" i="1"/>
  <c r="AU6" i="1"/>
  <c r="AU22" i="1"/>
  <c r="AU38" i="1"/>
  <c r="AU7" i="1"/>
  <c r="AU23" i="1"/>
  <c r="AU39" i="1"/>
  <c r="AU12" i="1"/>
  <c r="AU28" i="1"/>
  <c r="S99" i="1"/>
  <c r="T99" i="1"/>
  <c r="Y99" i="1" s="1"/>
  <c r="T98" i="1"/>
  <c r="Y98" i="1" s="1"/>
  <c r="P99" i="1"/>
  <c r="P98" i="1" s="1"/>
  <c r="P97" i="1" s="1"/>
  <c r="P96" i="1" s="1"/>
  <c r="P95" i="1" s="1"/>
  <c r="P94" i="1" s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P66" i="1" s="1"/>
  <c r="P65" i="1" s="1"/>
  <c r="P64" i="1" s="1"/>
  <c r="P63" i="1" s="1"/>
  <c r="P62" i="1" s="1"/>
  <c r="P61" i="1" s="1"/>
  <c r="P60" i="1" s="1"/>
  <c r="P59" i="1" s="1"/>
  <c r="P58" i="1" s="1"/>
  <c r="P57" i="1" s="1"/>
  <c r="R99" i="1"/>
  <c r="X99" i="1" s="1"/>
  <c r="R98" i="1"/>
  <c r="X98" i="1" s="1"/>
  <c r="Q100" i="1"/>
  <c r="S98" i="1" s="1"/>
  <c r="K4" i="1"/>
  <c r="L6" i="1"/>
  <c r="K6" i="1" s="1"/>
  <c r="J5" i="1"/>
  <c r="J4" i="1"/>
  <c r="BI34" i="1" l="1"/>
  <c r="BI42" i="1"/>
  <c r="BI7" i="1"/>
  <c r="BI23" i="1"/>
  <c r="BI39" i="1"/>
  <c r="BI4" i="1"/>
  <c r="BI20" i="1"/>
  <c r="BI24" i="1"/>
  <c r="BI40" i="1"/>
  <c r="BI5" i="1"/>
  <c r="BI9" i="1"/>
  <c r="BI13" i="1"/>
  <c r="BI17" i="1"/>
  <c r="BI21" i="1"/>
  <c r="BI18" i="1"/>
  <c r="BI10" i="1"/>
  <c r="BI26" i="1"/>
  <c r="BI6" i="1"/>
  <c r="BI22" i="1"/>
  <c r="BI38" i="1"/>
  <c r="BI3" i="1"/>
  <c r="BI19" i="1"/>
  <c r="BI35" i="1"/>
  <c r="BI16" i="1"/>
  <c r="BI36" i="1"/>
  <c r="BI25" i="1"/>
  <c r="BI29" i="1"/>
  <c r="BI33" i="1"/>
  <c r="BI37" i="1"/>
  <c r="BI41" i="1"/>
  <c r="BI15" i="1"/>
  <c r="BI31" i="1"/>
  <c r="BI12" i="1"/>
  <c r="BI32" i="1"/>
  <c r="BI14" i="1"/>
  <c r="BI30" i="1"/>
  <c r="BI11" i="1"/>
  <c r="BI27" i="1"/>
  <c r="BI2" i="1"/>
  <c r="BI8" i="1"/>
  <c r="BI28" i="1"/>
  <c r="BQ3" i="1"/>
  <c r="BY3" i="1" s="1"/>
  <c r="BQ7" i="1"/>
  <c r="BY7" i="1" s="1"/>
  <c r="BQ11" i="1"/>
  <c r="BY11" i="1" s="1"/>
  <c r="BQ15" i="1"/>
  <c r="BY15" i="1" s="1"/>
  <c r="BQ19" i="1"/>
  <c r="BY19" i="1" s="1"/>
  <c r="BQ23" i="1"/>
  <c r="BY23" i="1" s="1"/>
  <c r="BQ27" i="1"/>
  <c r="BY27" i="1" s="1"/>
  <c r="BQ31" i="1"/>
  <c r="BY31" i="1" s="1"/>
  <c r="BQ35" i="1"/>
  <c r="BY35" i="1" s="1"/>
  <c r="BQ39" i="1"/>
  <c r="BY39" i="1" s="1"/>
  <c r="BN26" i="1"/>
  <c r="BP26" i="1" s="1"/>
  <c r="BN42" i="1"/>
  <c r="BP42" i="1" s="1"/>
  <c r="BQ16" i="1"/>
  <c r="BY16" i="1" s="1"/>
  <c r="BQ24" i="1"/>
  <c r="BY24" i="1" s="1"/>
  <c r="BQ36" i="1"/>
  <c r="BY36" i="1" s="1"/>
  <c r="BN22" i="1"/>
  <c r="BP22" i="1" s="1"/>
  <c r="BN38" i="1"/>
  <c r="BP38" i="1" s="1"/>
  <c r="BN8" i="1"/>
  <c r="BP8" i="1" s="1"/>
  <c r="BN12" i="1"/>
  <c r="BP12" i="1" s="1"/>
  <c r="BQ9" i="1"/>
  <c r="BY9" i="1" s="1"/>
  <c r="BQ25" i="1"/>
  <c r="BY25" i="1" s="1"/>
  <c r="BQ37" i="1"/>
  <c r="BY37" i="1" s="1"/>
  <c r="BQ4" i="1"/>
  <c r="BY4" i="1" s="1"/>
  <c r="BQ8" i="1"/>
  <c r="BY8" i="1" s="1"/>
  <c r="BQ20" i="1"/>
  <c r="BY20" i="1" s="1"/>
  <c r="BQ32" i="1"/>
  <c r="BY32" i="1" s="1"/>
  <c r="BN23" i="1"/>
  <c r="BP23" i="1" s="1"/>
  <c r="BN39" i="1"/>
  <c r="BP39" i="1" s="1"/>
  <c r="BN4" i="1"/>
  <c r="BP4" i="1" s="1"/>
  <c r="BN14" i="1"/>
  <c r="BP14" i="1" s="1"/>
  <c r="BQ5" i="1"/>
  <c r="BY5" i="1" s="1"/>
  <c r="BQ21" i="1"/>
  <c r="BY21" i="1" s="1"/>
  <c r="BQ41" i="1"/>
  <c r="BY41" i="1" s="1"/>
  <c r="BN34" i="1"/>
  <c r="BP34" i="1" s="1"/>
  <c r="BQ17" i="1"/>
  <c r="BY17" i="1" s="1"/>
  <c r="BQ33" i="1"/>
  <c r="BY33" i="1" s="1"/>
  <c r="BN18" i="1"/>
  <c r="BP18" i="1" s="1"/>
  <c r="BN35" i="1"/>
  <c r="BP35" i="1" s="1"/>
  <c r="BQ6" i="1"/>
  <c r="BY6" i="1" s="1"/>
  <c r="BQ10" i="1"/>
  <c r="BY10" i="1" s="1"/>
  <c r="BQ14" i="1"/>
  <c r="BY14" i="1" s="1"/>
  <c r="BQ18" i="1"/>
  <c r="BY18" i="1" s="1"/>
  <c r="BQ22" i="1"/>
  <c r="BY22" i="1" s="1"/>
  <c r="BQ26" i="1"/>
  <c r="BY26" i="1" s="1"/>
  <c r="BQ30" i="1"/>
  <c r="BY30" i="1" s="1"/>
  <c r="BQ34" i="1"/>
  <c r="BY34" i="1" s="1"/>
  <c r="BQ38" i="1"/>
  <c r="BY38" i="1" s="1"/>
  <c r="BQ42" i="1"/>
  <c r="BY42" i="1" s="1"/>
  <c r="BN15" i="1"/>
  <c r="BP15" i="1" s="1"/>
  <c r="BN30" i="1"/>
  <c r="BP30" i="1" s="1"/>
  <c r="BN31" i="1"/>
  <c r="BP31" i="1" s="1"/>
  <c r="BN3" i="1"/>
  <c r="BP3" i="1" s="1"/>
  <c r="BN5" i="1"/>
  <c r="BP5" i="1" s="1"/>
  <c r="BN7" i="1"/>
  <c r="BP7" i="1" s="1"/>
  <c r="BN9" i="1"/>
  <c r="BP9" i="1" s="1"/>
  <c r="BN11" i="1"/>
  <c r="BP11" i="1" s="1"/>
  <c r="BN13" i="1"/>
  <c r="BP13" i="1" s="1"/>
  <c r="BQ2" i="1"/>
  <c r="BY2" i="1" s="1"/>
  <c r="BN27" i="1"/>
  <c r="BP27" i="1" s="1"/>
  <c r="BN2" i="1"/>
  <c r="BP2" i="1" s="1"/>
  <c r="BQ12" i="1"/>
  <c r="BY12" i="1" s="1"/>
  <c r="BQ28" i="1"/>
  <c r="BY28" i="1" s="1"/>
  <c r="BQ40" i="1"/>
  <c r="BY40" i="1" s="1"/>
  <c r="BN6" i="1"/>
  <c r="BP6" i="1" s="1"/>
  <c r="BN10" i="1"/>
  <c r="BP10" i="1" s="1"/>
  <c r="BQ13" i="1"/>
  <c r="BY13" i="1" s="1"/>
  <c r="BQ29" i="1"/>
  <c r="BY29" i="1" s="1"/>
  <c r="BN19" i="1"/>
  <c r="BP19" i="1" s="1"/>
  <c r="BN40" i="1"/>
  <c r="BP40" i="1" s="1"/>
  <c r="BN20" i="1"/>
  <c r="BP20" i="1" s="1"/>
  <c r="BN16" i="1"/>
  <c r="BP16" i="1" s="1"/>
  <c r="BN21" i="1"/>
  <c r="BP21" i="1" s="1"/>
  <c r="BN37" i="1"/>
  <c r="BP37" i="1" s="1"/>
  <c r="BN33" i="1"/>
  <c r="BP33" i="1" s="1"/>
  <c r="BN36" i="1"/>
  <c r="BP36" i="1" s="1"/>
  <c r="BN28" i="1"/>
  <c r="BP28" i="1" s="1"/>
  <c r="BN41" i="1"/>
  <c r="BP41" i="1" s="1"/>
  <c r="BN24" i="1"/>
  <c r="BP24" i="1" s="1"/>
  <c r="BN32" i="1"/>
  <c r="BP32" i="1" s="1"/>
  <c r="BN29" i="1"/>
  <c r="BP29" i="1" s="1"/>
  <c r="BN17" i="1"/>
  <c r="BP17" i="1" s="1"/>
  <c r="BN25" i="1"/>
  <c r="BP25" i="1" s="1"/>
  <c r="P56" i="1"/>
  <c r="P55" i="1" s="1"/>
  <c r="P54" i="1" s="1"/>
  <c r="P53" i="1" s="1"/>
  <c r="P52" i="1" s="1"/>
  <c r="P51" i="1" s="1"/>
  <c r="P50" i="1" s="1"/>
  <c r="P49" i="1" s="1"/>
  <c r="P48" i="1" s="1"/>
  <c r="P47" i="1" s="1"/>
  <c r="P46" i="1" s="1"/>
  <c r="P45" i="1" s="1"/>
  <c r="P44" i="1" s="1"/>
  <c r="P43" i="1" s="1"/>
  <c r="P42" i="1" s="1"/>
  <c r="P41" i="1" s="1"/>
  <c r="P40" i="1" s="1"/>
  <c r="P39" i="1" s="1"/>
  <c r="P38" i="1" s="1"/>
  <c r="P37" i="1" s="1"/>
  <c r="P36" i="1" s="1"/>
  <c r="P35" i="1" s="1"/>
  <c r="P34" i="1" s="1"/>
  <c r="P33" i="1" s="1"/>
  <c r="P32" i="1" s="1"/>
  <c r="P31" i="1" s="1"/>
  <c r="P30" i="1" s="1"/>
  <c r="P29" i="1" s="1"/>
  <c r="P28" i="1" s="1"/>
  <c r="P27" i="1" s="1"/>
  <c r="P26" i="1" s="1"/>
  <c r="P25" i="1" s="1"/>
  <c r="P24" i="1" s="1"/>
  <c r="P23" i="1" s="1"/>
  <c r="P22" i="1" s="1"/>
  <c r="P21" i="1" s="1"/>
  <c r="P20" i="1" s="1"/>
  <c r="P19" i="1" s="1"/>
  <c r="P18" i="1" s="1"/>
  <c r="P17" i="1" s="1"/>
  <c r="P16" i="1" s="1"/>
  <c r="P15" i="1" s="1"/>
  <c r="P14" i="1" s="1"/>
  <c r="P13" i="1" s="1"/>
  <c r="P12" i="1" s="1"/>
  <c r="P11" i="1" s="1"/>
  <c r="P10" i="1" s="1"/>
  <c r="P9" i="1" s="1"/>
  <c r="P8" i="1" s="1"/>
  <c r="P7" i="1" s="1"/>
  <c r="P6" i="1" s="1"/>
  <c r="P5" i="1" s="1"/>
  <c r="P4" i="1" s="1"/>
  <c r="P3" i="1" s="1"/>
  <c r="P2" i="1" s="1"/>
  <c r="AV40" i="1"/>
  <c r="AW40" i="1" s="1"/>
  <c r="AV24" i="1"/>
  <c r="AW24" i="1" s="1"/>
  <c r="AV8" i="1"/>
  <c r="AW8" i="1" s="1"/>
  <c r="AX8" i="1" s="1"/>
  <c r="CJ8" i="1" s="1"/>
  <c r="AV35" i="1"/>
  <c r="AW35" i="1" s="1"/>
  <c r="AX35" i="1" s="1"/>
  <c r="CJ35" i="1" s="1"/>
  <c r="AV19" i="1"/>
  <c r="AW19" i="1" s="1"/>
  <c r="AX19" i="1" s="1"/>
  <c r="CJ19" i="1" s="1"/>
  <c r="AV3" i="1"/>
  <c r="AW3" i="1" s="1"/>
  <c r="AX3" i="1" s="1"/>
  <c r="CJ3" i="1" s="1"/>
  <c r="AV30" i="1"/>
  <c r="AW30" i="1" s="1"/>
  <c r="AX30" i="1" s="1"/>
  <c r="CJ30" i="1" s="1"/>
  <c r="AV14" i="1"/>
  <c r="AW14" i="1" s="1"/>
  <c r="AX14" i="1" s="1"/>
  <c r="CJ14" i="1" s="1"/>
  <c r="AV37" i="1"/>
  <c r="AW37" i="1" s="1"/>
  <c r="AX37" i="1" s="1"/>
  <c r="CJ37" i="1" s="1"/>
  <c r="AV21" i="1"/>
  <c r="AW21" i="1" s="1"/>
  <c r="AV5" i="1"/>
  <c r="AW5" i="1" s="1"/>
  <c r="AX5" i="1" s="1"/>
  <c r="CJ5" i="1" s="1"/>
  <c r="AV36" i="1"/>
  <c r="AW36" i="1" s="1"/>
  <c r="AX36" i="1" s="1"/>
  <c r="CJ36" i="1" s="1"/>
  <c r="AV20" i="1"/>
  <c r="AW20" i="1" s="1"/>
  <c r="AX20" i="1" s="1"/>
  <c r="CJ20" i="1" s="1"/>
  <c r="AV4" i="1"/>
  <c r="AW4" i="1" s="1"/>
  <c r="AV31" i="1"/>
  <c r="AW31" i="1" s="1"/>
  <c r="AX31" i="1" s="1"/>
  <c r="CJ31" i="1" s="1"/>
  <c r="AV15" i="1"/>
  <c r="AW15" i="1" s="1"/>
  <c r="AX15" i="1" s="1"/>
  <c r="CJ15" i="1" s="1"/>
  <c r="AV42" i="1"/>
  <c r="AW42" i="1" s="1"/>
  <c r="AX42" i="1" s="1"/>
  <c r="CJ42" i="1" s="1"/>
  <c r="AV26" i="1"/>
  <c r="AW26" i="1" s="1"/>
  <c r="AX26" i="1" s="1"/>
  <c r="CJ26" i="1" s="1"/>
  <c r="AV10" i="1"/>
  <c r="AW10" i="1" s="1"/>
  <c r="AX10" i="1" s="1"/>
  <c r="CJ10" i="1" s="1"/>
  <c r="AV33" i="1"/>
  <c r="AW33" i="1" s="1"/>
  <c r="AX33" i="1" s="1"/>
  <c r="CJ33" i="1" s="1"/>
  <c r="AV17" i="1"/>
  <c r="AW17" i="1" s="1"/>
  <c r="AX17" i="1" s="1"/>
  <c r="CJ17" i="1" s="1"/>
  <c r="AV32" i="1"/>
  <c r="AW32" i="1" s="1"/>
  <c r="AX32" i="1" s="1"/>
  <c r="CJ32" i="1" s="1"/>
  <c r="AV16" i="1"/>
  <c r="AW16" i="1" s="1"/>
  <c r="AX16" i="1" s="1"/>
  <c r="CJ16" i="1" s="1"/>
  <c r="AV2" i="1"/>
  <c r="AW2" i="1" s="1"/>
  <c r="AX2" i="1" s="1"/>
  <c r="CJ2" i="1" s="1"/>
  <c r="AV27" i="1"/>
  <c r="AW27" i="1" s="1"/>
  <c r="AX27" i="1" s="1"/>
  <c r="CJ27" i="1" s="1"/>
  <c r="AV11" i="1"/>
  <c r="AW11" i="1" s="1"/>
  <c r="AX11" i="1" s="1"/>
  <c r="CJ11" i="1" s="1"/>
  <c r="AV38" i="1"/>
  <c r="AW38" i="1" s="1"/>
  <c r="AX38" i="1" s="1"/>
  <c r="CJ38" i="1" s="1"/>
  <c r="AV22" i="1"/>
  <c r="AW22" i="1" s="1"/>
  <c r="AX22" i="1" s="1"/>
  <c r="CJ22" i="1" s="1"/>
  <c r="AV6" i="1"/>
  <c r="AW6" i="1" s="1"/>
  <c r="AX6" i="1" s="1"/>
  <c r="CJ6" i="1" s="1"/>
  <c r="AV29" i="1"/>
  <c r="AW29" i="1" s="1"/>
  <c r="AX29" i="1" s="1"/>
  <c r="CJ29" i="1" s="1"/>
  <c r="AV13" i="1"/>
  <c r="AW13" i="1" s="1"/>
  <c r="AX13" i="1" s="1"/>
  <c r="CJ13" i="1" s="1"/>
  <c r="AV28" i="1"/>
  <c r="AW28" i="1" s="1"/>
  <c r="AX28" i="1" s="1"/>
  <c r="CJ28" i="1" s="1"/>
  <c r="AV12" i="1"/>
  <c r="AW12" i="1" s="1"/>
  <c r="AX12" i="1" s="1"/>
  <c r="CJ12" i="1" s="1"/>
  <c r="AV39" i="1"/>
  <c r="AW39" i="1" s="1"/>
  <c r="AX39" i="1" s="1"/>
  <c r="CJ39" i="1" s="1"/>
  <c r="AV23" i="1"/>
  <c r="AW23" i="1" s="1"/>
  <c r="AX23" i="1" s="1"/>
  <c r="CJ23" i="1" s="1"/>
  <c r="AV7" i="1"/>
  <c r="AW7" i="1" s="1"/>
  <c r="AX7" i="1" s="1"/>
  <c r="CJ7" i="1" s="1"/>
  <c r="AV34" i="1"/>
  <c r="AW34" i="1" s="1"/>
  <c r="AX34" i="1" s="1"/>
  <c r="CJ34" i="1" s="1"/>
  <c r="AV18" i="1"/>
  <c r="AW18" i="1" s="1"/>
  <c r="AX18" i="1" s="1"/>
  <c r="CJ18" i="1" s="1"/>
  <c r="AV41" i="1"/>
  <c r="AW41" i="1" s="1"/>
  <c r="AX41" i="1" s="1"/>
  <c r="CJ41" i="1" s="1"/>
  <c r="AV25" i="1"/>
  <c r="AW25" i="1" s="1"/>
  <c r="AX25" i="1" s="1"/>
  <c r="CJ25" i="1" s="1"/>
  <c r="AV9" i="1"/>
  <c r="AW9" i="1" s="1"/>
  <c r="AX9" i="1" s="1"/>
  <c r="CJ9" i="1" s="1"/>
  <c r="AX4" i="1"/>
  <c r="CJ4" i="1" s="1"/>
  <c r="AX24" i="1"/>
  <c r="CJ24" i="1" s="1"/>
  <c r="AX40" i="1"/>
  <c r="CJ40" i="1" s="1"/>
  <c r="AJ17" i="1"/>
  <c r="AX21" i="1"/>
  <c r="CJ21" i="1" s="1"/>
  <c r="R90" i="1"/>
  <c r="X90" i="1" s="1"/>
  <c r="T62" i="1"/>
  <c r="Y62" i="1" s="1"/>
  <c r="T78" i="1"/>
  <c r="Y78" i="1" s="1"/>
  <c r="T94" i="1"/>
  <c r="Y94" i="1" s="1"/>
  <c r="T59" i="1"/>
  <c r="Y59" i="1" s="1"/>
  <c r="T75" i="1"/>
  <c r="Y75" i="1" s="1"/>
  <c r="T91" i="1"/>
  <c r="Y91" i="1" s="1"/>
  <c r="T56" i="1"/>
  <c r="Y56" i="1" s="1"/>
  <c r="T72" i="1"/>
  <c r="Y72" i="1" s="1"/>
  <c r="T53" i="1"/>
  <c r="Y53" i="1" s="1"/>
  <c r="T69" i="1"/>
  <c r="Y69" i="1" s="1"/>
  <c r="T85" i="1"/>
  <c r="Y85" i="1" s="1"/>
  <c r="T50" i="1"/>
  <c r="Y50" i="1" s="1"/>
  <c r="T66" i="1"/>
  <c r="Y66" i="1" s="1"/>
  <c r="T82" i="1"/>
  <c r="Y82" i="1" s="1"/>
  <c r="T47" i="1"/>
  <c r="Y47" i="1" s="1"/>
  <c r="T63" i="1"/>
  <c r="Y63" i="1" s="1"/>
  <c r="T79" i="1"/>
  <c r="Y79" i="1" s="1"/>
  <c r="T95" i="1"/>
  <c r="Y95" i="1" s="1"/>
  <c r="T44" i="1"/>
  <c r="Y44" i="1" s="1"/>
  <c r="T60" i="1"/>
  <c r="Y60" i="1" s="1"/>
  <c r="T76" i="1"/>
  <c r="Y76" i="1" s="1"/>
  <c r="T41" i="1"/>
  <c r="Y41" i="1" s="1"/>
  <c r="T57" i="1"/>
  <c r="Y57" i="1" s="1"/>
  <c r="T73" i="1"/>
  <c r="Y73" i="1" s="1"/>
  <c r="T89" i="1"/>
  <c r="Y89" i="1" s="1"/>
  <c r="T80" i="1"/>
  <c r="Y80" i="1" s="1"/>
  <c r="T54" i="1"/>
  <c r="Y54" i="1" s="1"/>
  <c r="T70" i="1"/>
  <c r="Y70" i="1" s="1"/>
  <c r="T86" i="1"/>
  <c r="Y86" i="1" s="1"/>
  <c r="T51" i="1"/>
  <c r="Y51" i="1" s="1"/>
  <c r="T67" i="1"/>
  <c r="Y67" i="1" s="1"/>
  <c r="T83" i="1"/>
  <c r="Y83" i="1" s="1"/>
  <c r="T48" i="1"/>
  <c r="Y48" i="1" s="1"/>
  <c r="T64" i="1"/>
  <c r="Y64" i="1" s="1"/>
  <c r="T84" i="1"/>
  <c r="Y84" i="1" s="1"/>
  <c r="T45" i="1"/>
  <c r="Y45" i="1" s="1"/>
  <c r="T61" i="1"/>
  <c r="Y61" i="1" s="1"/>
  <c r="T77" i="1"/>
  <c r="Y77" i="1" s="1"/>
  <c r="T93" i="1"/>
  <c r="Y93" i="1" s="1"/>
  <c r="T88" i="1"/>
  <c r="Y88" i="1" s="1"/>
  <c r="T42" i="1"/>
  <c r="Y42" i="1" s="1"/>
  <c r="T58" i="1"/>
  <c r="Y58" i="1" s="1"/>
  <c r="T74" i="1"/>
  <c r="Y74" i="1" s="1"/>
  <c r="T90" i="1"/>
  <c r="Y90" i="1" s="1"/>
  <c r="T39" i="1"/>
  <c r="Y39" i="1" s="1"/>
  <c r="T55" i="1"/>
  <c r="Y55" i="1" s="1"/>
  <c r="T71" i="1"/>
  <c r="Y71" i="1" s="1"/>
  <c r="T87" i="1"/>
  <c r="Y87" i="1" s="1"/>
  <c r="T36" i="1"/>
  <c r="Y36" i="1" s="1"/>
  <c r="T52" i="1"/>
  <c r="Y52" i="1" s="1"/>
  <c r="T68" i="1"/>
  <c r="Y68" i="1" s="1"/>
  <c r="T92" i="1"/>
  <c r="Y92" i="1" s="1"/>
  <c r="T33" i="1"/>
  <c r="Y33" i="1" s="1"/>
  <c r="T49" i="1"/>
  <c r="Y49" i="1" s="1"/>
  <c r="T65" i="1"/>
  <c r="Y65" i="1" s="1"/>
  <c r="T81" i="1"/>
  <c r="Y81" i="1" s="1"/>
  <c r="T97" i="1"/>
  <c r="Y97" i="1" s="1"/>
  <c r="U98" i="1"/>
  <c r="T96" i="1"/>
  <c r="Y96" i="1" s="1"/>
  <c r="R58" i="1"/>
  <c r="X58" i="1" s="1"/>
  <c r="R55" i="1"/>
  <c r="X55" i="1" s="1"/>
  <c r="R62" i="1"/>
  <c r="X62" i="1" s="1"/>
  <c r="R78" i="1"/>
  <c r="X78" i="1" s="1"/>
  <c r="R94" i="1"/>
  <c r="X94" i="1" s="1"/>
  <c r="R71" i="1"/>
  <c r="X71" i="1" s="1"/>
  <c r="R74" i="1"/>
  <c r="X74" i="1" s="1"/>
  <c r="R26" i="1"/>
  <c r="X26" i="1" s="1"/>
  <c r="R66" i="1"/>
  <c r="X66" i="1" s="1"/>
  <c r="R82" i="1"/>
  <c r="X82" i="1" s="1"/>
  <c r="R87" i="1"/>
  <c r="X87" i="1" s="1"/>
  <c r="R42" i="1"/>
  <c r="X42" i="1" s="1"/>
  <c r="R70" i="1"/>
  <c r="X70" i="1" s="1"/>
  <c r="R86" i="1"/>
  <c r="X86" i="1" s="1"/>
  <c r="R39" i="1"/>
  <c r="X39" i="1" s="1"/>
  <c r="R18" i="1"/>
  <c r="X18" i="1" s="1"/>
  <c r="R34" i="1"/>
  <c r="X34" i="1" s="1"/>
  <c r="R50" i="1"/>
  <c r="X50" i="1" s="1"/>
  <c r="R15" i="1"/>
  <c r="X15" i="1" s="1"/>
  <c r="R31" i="1"/>
  <c r="X31" i="1" s="1"/>
  <c r="R47" i="1"/>
  <c r="X47" i="1" s="1"/>
  <c r="R63" i="1"/>
  <c r="X63" i="1" s="1"/>
  <c r="R79" i="1"/>
  <c r="X79" i="1" s="1"/>
  <c r="R95" i="1"/>
  <c r="X95" i="1" s="1"/>
  <c r="R12" i="1"/>
  <c r="X12" i="1" s="1"/>
  <c r="R28" i="1"/>
  <c r="X28" i="1" s="1"/>
  <c r="R44" i="1"/>
  <c r="X44" i="1" s="1"/>
  <c r="R60" i="1"/>
  <c r="X60" i="1" s="1"/>
  <c r="R76" i="1"/>
  <c r="X76" i="1" s="1"/>
  <c r="R92" i="1"/>
  <c r="X92" i="1" s="1"/>
  <c r="R9" i="1"/>
  <c r="X9" i="1" s="1"/>
  <c r="R25" i="1"/>
  <c r="X25" i="1" s="1"/>
  <c r="R41" i="1"/>
  <c r="X41" i="1" s="1"/>
  <c r="R57" i="1"/>
  <c r="X57" i="1" s="1"/>
  <c r="R73" i="1"/>
  <c r="X73" i="1" s="1"/>
  <c r="R89" i="1"/>
  <c r="X89" i="1" s="1"/>
  <c r="R6" i="1"/>
  <c r="X6" i="1" s="1"/>
  <c r="R22" i="1"/>
  <c r="X22" i="1" s="1"/>
  <c r="R38" i="1"/>
  <c r="X38" i="1" s="1"/>
  <c r="R54" i="1"/>
  <c r="X54" i="1" s="1"/>
  <c r="R3" i="1"/>
  <c r="X3" i="1" s="1"/>
  <c r="R19" i="1"/>
  <c r="X19" i="1" s="1"/>
  <c r="R35" i="1"/>
  <c r="X35" i="1" s="1"/>
  <c r="R51" i="1"/>
  <c r="X51" i="1" s="1"/>
  <c r="R67" i="1"/>
  <c r="X67" i="1" s="1"/>
  <c r="R83" i="1"/>
  <c r="X83" i="1" s="1"/>
  <c r="R16" i="1"/>
  <c r="X16" i="1" s="1"/>
  <c r="R32" i="1"/>
  <c r="X32" i="1" s="1"/>
  <c r="R48" i="1"/>
  <c r="X48" i="1" s="1"/>
  <c r="R64" i="1"/>
  <c r="X64" i="1" s="1"/>
  <c r="R80" i="1"/>
  <c r="X80" i="1" s="1"/>
  <c r="R96" i="1"/>
  <c r="X96" i="1" s="1"/>
  <c r="R13" i="1"/>
  <c r="X13" i="1" s="1"/>
  <c r="R29" i="1"/>
  <c r="X29" i="1" s="1"/>
  <c r="R45" i="1"/>
  <c r="X45" i="1" s="1"/>
  <c r="R61" i="1"/>
  <c r="X61" i="1" s="1"/>
  <c r="R77" i="1"/>
  <c r="X77" i="1" s="1"/>
  <c r="R93" i="1"/>
  <c r="X93" i="1" s="1"/>
  <c r="R4" i="1"/>
  <c r="X4" i="1" s="1"/>
  <c r="R20" i="1"/>
  <c r="X20" i="1" s="1"/>
  <c r="R36" i="1"/>
  <c r="X36" i="1" s="1"/>
  <c r="R52" i="1"/>
  <c r="X52" i="1" s="1"/>
  <c r="R68" i="1"/>
  <c r="X68" i="1" s="1"/>
  <c r="R84" i="1"/>
  <c r="X84" i="1" s="1"/>
  <c r="R97" i="1"/>
  <c r="X97" i="1" s="1"/>
  <c r="R17" i="1"/>
  <c r="X17" i="1" s="1"/>
  <c r="R33" i="1"/>
  <c r="X33" i="1" s="1"/>
  <c r="R49" i="1"/>
  <c r="X49" i="1" s="1"/>
  <c r="R65" i="1"/>
  <c r="X65" i="1" s="1"/>
  <c r="R81" i="1"/>
  <c r="X81" i="1" s="1"/>
  <c r="R23" i="1"/>
  <c r="X23" i="1" s="1"/>
  <c r="Q99" i="1"/>
  <c r="R14" i="1"/>
  <c r="X14" i="1" s="1"/>
  <c r="R30" i="1"/>
  <c r="X30" i="1" s="1"/>
  <c r="R46" i="1"/>
  <c r="X46" i="1" s="1"/>
  <c r="R11" i="1"/>
  <c r="X11" i="1" s="1"/>
  <c r="R27" i="1"/>
  <c r="X27" i="1" s="1"/>
  <c r="R43" i="1"/>
  <c r="X43" i="1" s="1"/>
  <c r="R59" i="1"/>
  <c r="X59" i="1" s="1"/>
  <c r="R75" i="1"/>
  <c r="X75" i="1" s="1"/>
  <c r="R91" i="1"/>
  <c r="X91" i="1" s="1"/>
  <c r="R8" i="1"/>
  <c r="X8" i="1" s="1"/>
  <c r="R24" i="1"/>
  <c r="X24" i="1" s="1"/>
  <c r="R40" i="1"/>
  <c r="X40" i="1" s="1"/>
  <c r="R56" i="1"/>
  <c r="X56" i="1" s="1"/>
  <c r="R72" i="1"/>
  <c r="X72" i="1" s="1"/>
  <c r="R88" i="1"/>
  <c r="X88" i="1" s="1"/>
  <c r="R5" i="1"/>
  <c r="X5" i="1" s="1"/>
  <c r="R21" i="1"/>
  <c r="X21" i="1" s="1"/>
  <c r="R37" i="1"/>
  <c r="X37" i="1" s="1"/>
  <c r="R53" i="1"/>
  <c r="X53" i="1" s="1"/>
  <c r="R69" i="1"/>
  <c r="X69" i="1" s="1"/>
  <c r="R85" i="1"/>
  <c r="X85" i="1" s="1"/>
  <c r="L7" i="1"/>
  <c r="K7" i="1" s="1"/>
  <c r="J6" i="1"/>
  <c r="T26" i="1" l="1"/>
  <c r="Y26" i="1" s="1"/>
  <c r="T25" i="1"/>
  <c r="Y25" i="1" s="1"/>
  <c r="T31" i="1"/>
  <c r="Y31" i="1" s="1"/>
  <c r="T34" i="1"/>
  <c r="Y34" i="1" s="1"/>
  <c r="T37" i="1"/>
  <c r="Y37" i="1" s="1"/>
  <c r="AJ20" i="1"/>
  <c r="AL20" i="1" s="1"/>
  <c r="R7" i="1"/>
  <c r="X7" i="1" s="1"/>
  <c r="T17" i="1"/>
  <c r="Y17" i="1" s="1"/>
  <c r="T29" i="1"/>
  <c r="Y29" i="1" s="1"/>
  <c r="T32" i="1"/>
  <c r="Y32" i="1" s="1"/>
  <c r="T35" i="1"/>
  <c r="Y35" i="1" s="1"/>
  <c r="T38" i="1"/>
  <c r="Y38" i="1" s="1"/>
  <c r="AJ40" i="1"/>
  <c r="AJ23" i="1"/>
  <c r="AL23" i="1" s="1"/>
  <c r="R10" i="1"/>
  <c r="X10" i="1" s="1"/>
  <c r="T20" i="1"/>
  <c r="Y20" i="1" s="1"/>
  <c r="T40" i="1"/>
  <c r="Y40" i="1" s="1"/>
  <c r="T43" i="1"/>
  <c r="Y43" i="1" s="1"/>
  <c r="AJ9" i="1"/>
  <c r="AM9" i="1" s="1"/>
  <c r="AJ7" i="1"/>
  <c r="AK7" i="1" s="1"/>
  <c r="T16" i="1"/>
  <c r="Y16" i="1" s="1"/>
  <c r="T4" i="1"/>
  <c r="Y4" i="1" s="1"/>
  <c r="T10" i="1"/>
  <c r="Y10" i="1" s="1"/>
  <c r="T19" i="1"/>
  <c r="Y19" i="1" s="1"/>
  <c r="T21" i="1"/>
  <c r="Y21" i="1" s="1"/>
  <c r="T27" i="1"/>
  <c r="Y27" i="1" s="1"/>
  <c r="T46" i="1"/>
  <c r="Y46" i="1" s="1"/>
  <c r="AJ21" i="1"/>
  <c r="AM21" i="1" s="1"/>
  <c r="AJ13" i="1"/>
  <c r="AL13" i="1" s="1"/>
  <c r="AJ5" i="1"/>
  <c r="AM5" i="1" s="1"/>
  <c r="AJ24" i="1"/>
  <c r="AM24" i="1" s="1"/>
  <c r="AJ4" i="1"/>
  <c r="AL4" i="1" s="1"/>
  <c r="AJ26" i="1"/>
  <c r="AK26" i="1" s="1"/>
  <c r="AJ8" i="1"/>
  <c r="AK8" i="1" s="1"/>
  <c r="R2" i="1"/>
  <c r="X2" i="1" s="1"/>
  <c r="T23" i="1"/>
  <c r="Y23" i="1" s="1"/>
  <c r="T30" i="1"/>
  <c r="Y30" i="1" s="1"/>
  <c r="AJ39" i="1"/>
  <c r="AK39" i="1" s="1"/>
  <c r="AJ10" i="1"/>
  <c r="AM10" i="1" s="1"/>
  <c r="AJ11" i="1"/>
  <c r="AM11" i="1" s="1"/>
  <c r="T7" i="1"/>
  <c r="Y7" i="1" s="1"/>
  <c r="T12" i="1"/>
  <c r="Y12" i="1" s="1"/>
  <c r="AJ37" i="1"/>
  <c r="AL37" i="1" s="1"/>
  <c r="T6" i="1"/>
  <c r="Y6" i="1" s="1"/>
  <c r="T2" i="1"/>
  <c r="Y2" i="1" s="1"/>
  <c r="AJ30" i="1"/>
  <c r="AM30" i="1" s="1"/>
  <c r="AJ29" i="1"/>
  <c r="AM29" i="1" s="1"/>
  <c r="AJ16" i="1"/>
  <c r="AM16" i="1" s="1"/>
  <c r="T11" i="1"/>
  <c r="Y11" i="1" s="1"/>
  <c r="AK13" i="1"/>
  <c r="AL5" i="1"/>
  <c r="AL24" i="1"/>
  <c r="AK11" i="1"/>
  <c r="T3" i="1"/>
  <c r="Y3" i="1" s="1"/>
  <c r="T15" i="1"/>
  <c r="Y15" i="1" s="1"/>
  <c r="T5" i="1"/>
  <c r="Y5" i="1" s="1"/>
  <c r="T24" i="1"/>
  <c r="Y24" i="1" s="1"/>
  <c r="AL30" i="1"/>
  <c r="AJ12" i="1"/>
  <c r="AJ34" i="1"/>
  <c r="AJ35" i="1"/>
  <c r="AJ38" i="1"/>
  <c r="T13" i="1"/>
  <c r="Y13" i="1" s="1"/>
  <c r="T22" i="1"/>
  <c r="Y22" i="1" s="1"/>
  <c r="T9" i="1"/>
  <c r="Y9" i="1" s="1"/>
  <c r="T28" i="1"/>
  <c r="Y28" i="1" s="1"/>
  <c r="T18" i="1"/>
  <c r="Y18" i="1" s="1"/>
  <c r="T8" i="1"/>
  <c r="Y8" i="1" s="1"/>
  <c r="T14" i="1"/>
  <c r="Y14" i="1" s="1"/>
  <c r="AM17" i="1"/>
  <c r="AL17" i="1"/>
  <c r="AK17" i="1"/>
  <c r="AK9" i="1"/>
  <c r="AM40" i="1"/>
  <c r="AK40" i="1"/>
  <c r="AL40" i="1"/>
  <c r="AM20" i="1"/>
  <c r="AK20" i="1"/>
  <c r="AL39" i="1"/>
  <c r="AJ42" i="1"/>
  <c r="AJ28" i="1"/>
  <c r="AJ2" i="1"/>
  <c r="AJ14" i="1"/>
  <c r="AJ31" i="1"/>
  <c r="AJ18" i="1"/>
  <c r="AJ41" i="1"/>
  <c r="AJ33" i="1"/>
  <c r="AJ25" i="1"/>
  <c r="AJ19" i="1"/>
  <c r="AJ22" i="1"/>
  <c r="AM23" i="1"/>
  <c r="AK23" i="1"/>
  <c r="AM26" i="1"/>
  <c r="AJ27" i="1"/>
  <c r="AJ32" i="1"/>
  <c r="AJ15" i="1"/>
  <c r="AJ36" i="1"/>
  <c r="AJ3" i="1"/>
  <c r="AJ6" i="1"/>
  <c r="S97" i="1"/>
  <c r="U97" i="1"/>
  <c r="Q98" i="1"/>
  <c r="U96" i="1" s="1"/>
  <c r="L8" i="1"/>
  <c r="K8" i="1" s="1"/>
  <c r="J7" i="1"/>
  <c r="AL9" i="1" l="1"/>
  <c r="AK29" i="1"/>
  <c r="AM7" i="1"/>
  <c r="AM13" i="1"/>
  <c r="AL21" i="1"/>
  <c r="AL10" i="1"/>
  <c r="AM37" i="1"/>
  <c r="AL7" i="1"/>
  <c r="AK5" i="1"/>
  <c r="AK21" i="1"/>
  <c r="AM39" i="1"/>
  <c r="AL29" i="1"/>
  <c r="AM8" i="1"/>
  <c r="AM4" i="1"/>
  <c r="AK16" i="1"/>
  <c r="AK37" i="1"/>
  <c r="AL11" i="1"/>
  <c r="AK10" i="1"/>
  <c r="AK4" i="1"/>
  <c r="AK24" i="1"/>
  <c r="AL16" i="1"/>
  <c r="AL26" i="1"/>
  <c r="AK30" i="1"/>
  <c r="AL8" i="1"/>
  <c r="AM6" i="1"/>
  <c r="AK6" i="1"/>
  <c r="AL6" i="1"/>
  <c r="AM32" i="1"/>
  <c r="AL32" i="1"/>
  <c r="AK32" i="1"/>
  <c r="AP26" i="1"/>
  <c r="AO26" i="1"/>
  <c r="AR26" i="1" s="1"/>
  <c r="AN26" i="1"/>
  <c r="AQ26" i="1" s="1"/>
  <c r="AS26" i="1" s="1"/>
  <c r="AM25" i="1"/>
  <c r="AL25" i="1"/>
  <c r="AK25" i="1"/>
  <c r="AM31" i="1"/>
  <c r="AK31" i="1"/>
  <c r="AL31" i="1"/>
  <c r="AM42" i="1"/>
  <c r="AK42" i="1"/>
  <c r="AL42" i="1"/>
  <c r="AP9" i="1"/>
  <c r="AO9" i="1"/>
  <c r="AR9" i="1" s="1"/>
  <c r="AN9" i="1"/>
  <c r="AQ9" i="1" s="1"/>
  <c r="AS9" i="1" s="1"/>
  <c r="AM35" i="1"/>
  <c r="AL35" i="1"/>
  <c r="AK35" i="1"/>
  <c r="AP37" i="1"/>
  <c r="AN37" i="1"/>
  <c r="AQ37" i="1" s="1"/>
  <c r="AS37" i="1" s="1"/>
  <c r="AO37" i="1"/>
  <c r="AR37" i="1" s="1"/>
  <c r="AP11" i="1"/>
  <c r="AO11" i="1"/>
  <c r="AR11" i="1" s="1"/>
  <c r="AN11" i="1"/>
  <c r="AQ11" i="1" s="1"/>
  <c r="AS11" i="1" s="1"/>
  <c r="AP4" i="1"/>
  <c r="AN4" i="1"/>
  <c r="AQ4" i="1" s="1"/>
  <c r="AS4" i="1" s="1"/>
  <c r="AO4" i="1"/>
  <c r="AR4" i="1" s="1"/>
  <c r="AP21" i="1"/>
  <c r="AN21" i="1"/>
  <c r="AQ21" i="1" s="1"/>
  <c r="AS21" i="1" s="1"/>
  <c r="AO21" i="1"/>
  <c r="AR21" i="1" s="1"/>
  <c r="AM3" i="1"/>
  <c r="AL3" i="1"/>
  <c r="AK3" i="1"/>
  <c r="AM27" i="1"/>
  <c r="AL27" i="1"/>
  <c r="AK27" i="1"/>
  <c r="AM33" i="1"/>
  <c r="AL33" i="1"/>
  <c r="AK33" i="1"/>
  <c r="AM14" i="1"/>
  <c r="AK14" i="1"/>
  <c r="AL14" i="1"/>
  <c r="AP40" i="1"/>
  <c r="AN40" i="1"/>
  <c r="AQ40" i="1" s="1"/>
  <c r="AS40" i="1" s="1"/>
  <c r="AO40" i="1"/>
  <c r="AR40" i="1" s="1"/>
  <c r="AM34" i="1"/>
  <c r="AL34" i="1"/>
  <c r="AK34" i="1"/>
  <c r="AP30" i="1"/>
  <c r="AO30" i="1"/>
  <c r="AR30" i="1" s="1"/>
  <c r="AN30" i="1"/>
  <c r="AQ30" i="1" s="1"/>
  <c r="AS30" i="1" s="1"/>
  <c r="AP29" i="1"/>
  <c r="AN29" i="1"/>
  <c r="AQ29" i="1" s="1"/>
  <c r="AS29" i="1" s="1"/>
  <c r="AO29" i="1"/>
  <c r="AR29" i="1" s="1"/>
  <c r="AP7" i="1"/>
  <c r="AO7" i="1"/>
  <c r="AR7" i="1" s="1"/>
  <c r="AN7" i="1"/>
  <c r="AQ7" i="1" s="1"/>
  <c r="AS7" i="1" s="1"/>
  <c r="AP13" i="1"/>
  <c r="AN13" i="1"/>
  <c r="AQ13" i="1" s="1"/>
  <c r="AS13" i="1" s="1"/>
  <c r="AO13" i="1"/>
  <c r="AR13" i="1" s="1"/>
  <c r="AM36" i="1"/>
  <c r="AL36" i="1"/>
  <c r="AK36" i="1"/>
  <c r="AM22" i="1"/>
  <c r="AK22" i="1"/>
  <c r="AL22" i="1"/>
  <c r="AM41" i="1"/>
  <c r="AL41" i="1"/>
  <c r="AK41" i="1"/>
  <c r="AL2" i="1"/>
  <c r="AM2" i="1"/>
  <c r="AK2" i="1"/>
  <c r="AP20" i="1"/>
  <c r="AN20" i="1"/>
  <c r="AQ20" i="1" s="1"/>
  <c r="AS20" i="1" s="1"/>
  <c r="AO20" i="1"/>
  <c r="AR20" i="1" s="1"/>
  <c r="AM12" i="1"/>
  <c r="AK12" i="1"/>
  <c r="AL12" i="1"/>
  <c r="AP16" i="1"/>
  <c r="AO16" i="1"/>
  <c r="AR16" i="1" s="1"/>
  <c r="AN16" i="1"/>
  <c r="AQ16" i="1" s="1"/>
  <c r="AS16" i="1" s="1"/>
  <c r="AP10" i="1"/>
  <c r="AO10" i="1"/>
  <c r="AR10" i="1" s="1"/>
  <c r="AN10" i="1"/>
  <c r="AQ10" i="1" s="1"/>
  <c r="AS10" i="1" s="1"/>
  <c r="AP5" i="1"/>
  <c r="AN5" i="1"/>
  <c r="AQ5" i="1" s="1"/>
  <c r="AS5" i="1" s="1"/>
  <c r="AO5" i="1"/>
  <c r="AR5" i="1" s="1"/>
  <c r="AM15" i="1"/>
  <c r="AK15" i="1"/>
  <c r="AL15" i="1"/>
  <c r="AP23" i="1"/>
  <c r="AO23" i="1"/>
  <c r="AR23" i="1" s="1"/>
  <c r="AN23" i="1"/>
  <c r="AQ23" i="1" s="1"/>
  <c r="AS23" i="1" s="1"/>
  <c r="AM19" i="1"/>
  <c r="AL19" i="1"/>
  <c r="AK19" i="1"/>
  <c r="AM18" i="1"/>
  <c r="AL18" i="1"/>
  <c r="AK18" i="1"/>
  <c r="AM28" i="1"/>
  <c r="AK28" i="1"/>
  <c r="AL28" i="1"/>
  <c r="AP39" i="1"/>
  <c r="AO39" i="1"/>
  <c r="AR39" i="1" s="1"/>
  <c r="AN39" i="1"/>
  <c r="AQ39" i="1" s="1"/>
  <c r="AS39" i="1" s="1"/>
  <c r="AP17" i="1"/>
  <c r="AN17" i="1"/>
  <c r="AQ17" i="1" s="1"/>
  <c r="AS17" i="1" s="1"/>
  <c r="AO17" i="1"/>
  <c r="AR17" i="1" s="1"/>
  <c r="AM38" i="1"/>
  <c r="AK38" i="1"/>
  <c r="AL38" i="1"/>
  <c r="AP8" i="1"/>
  <c r="AO8" i="1"/>
  <c r="AR8" i="1" s="1"/>
  <c r="AN8" i="1"/>
  <c r="AQ8" i="1" s="1"/>
  <c r="AS8" i="1" s="1"/>
  <c r="AP24" i="1"/>
  <c r="AO24" i="1"/>
  <c r="AR24" i="1" s="1"/>
  <c r="AN24" i="1"/>
  <c r="AQ24" i="1" s="1"/>
  <c r="AS24" i="1" s="1"/>
  <c r="Q97" i="1"/>
  <c r="U95" i="1" s="1"/>
  <c r="S96" i="1"/>
  <c r="L9" i="1"/>
  <c r="K9" i="1" s="1"/>
  <c r="J8" i="1"/>
  <c r="BC17" i="1" l="1"/>
  <c r="CC17" i="1"/>
  <c r="BC13" i="1"/>
  <c r="CC13" i="1"/>
  <c r="BC30" i="1"/>
  <c r="CC30" i="1"/>
  <c r="BC9" i="1"/>
  <c r="CC9" i="1"/>
  <c r="BC26" i="1"/>
  <c r="CC26" i="1"/>
  <c r="BC8" i="1"/>
  <c r="CC8" i="1"/>
  <c r="BC5" i="1"/>
  <c r="CC5" i="1"/>
  <c r="BC20" i="1"/>
  <c r="CC20" i="1"/>
  <c r="BC4" i="1"/>
  <c r="CC4" i="1"/>
  <c r="BC24" i="1"/>
  <c r="CC24" i="1"/>
  <c r="BC39" i="1"/>
  <c r="CC39" i="1"/>
  <c r="BC23" i="1"/>
  <c r="CC23" i="1"/>
  <c r="BC16" i="1"/>
  <c r="CC16" i="1"/>
  <c r="BC7" i="1"/>
  <c r="CC7" i="1"/>
  <c r="BC29" i="1"/>
  <c r="CC29" i="1"/>
  <c r="BC21" i="1"/>
  <c r="CC21" i="1"/>
  <c r="BC10" i="1"/>
  <c r="CC10" i="1"/>
  <c r="BC40" i="1"/>
  <c r="CC40" i="1"/>
  <c r="BC11" i="1"/>
  <c r="CC11" i="1"/>
  <c r="BC37" i="1"/>
  <c r="CC37" i="1"/>
  <c r="AP19" i="1"/>
  <c r="AO19" i="1"/>
  <c r="AR19" i="1" s="1"/>
  <c r="AN19" i="1"/>
  <c r="AQ19" i="1" s="1"/>
  <c r="AS19" i="1" s="1"/>
  <c r="AP34" i="1"/>
  <c r="AO34" i="1"/>
  <c r="AR34" i="1" s="1"/>
  <c r="AN34" i="1"/>
  <c r="AQ34" i="1" s="1"/>
  <c r="AS34" i="1" s="1"/>
  <c r="AP27" i="1"/>
  <c r="AO27" i="1"/>
  <c r="AR27" i="1" s="1"/>
  <c r="AN27" i="1"/>
  <c r="AQ27" i="1" s="1"/>
  <c r="AS27" i="1" s="1"/>
  <c r="AP42" i="1"/>
  <c r="AO42" i="1"/>
  <c r="AR42" i="1" s="1"/>
  <c r="AN42" i="1"/>
  <c r="AQ42" i="1" s="1"/>
  <c r="AS42" i="1" s="1"/>
  <c r="AP32" i="1"/>
  <c r="AO32" i="1"/>
  <c r="AR32" i="1" s="1"/>
  <c r="AN32" i="1"/>
  <c r="AQ32" i="1" s="1"/>
  <c r="AS32" i="1" s="1"/>
  <c r="AP38" i="1"/>
  <c r="AN38" i="1"/>
  <c r="AQ38" i="1" s="1"/>
  <c r="AS38" i="1" s="1"/>
  <c r="AO38" i="1"/>
  <c r="AR38" i="1" s="1"/>
  <c r="AP18" i="1"/>
  <c r="AO18" i="1"/>
  <c r="AR18" i="1" s="1"/>
  <c r="AN18" i="1"/>
  <c r="AQ18" i="1" s="1"/>
  <c r="AS18" i="1" s="1"/>
  <c r="AP36" i="1"/>
  <c r="AN36" i="1"/>
  <c r="AQ36" i="1" s="1"/>
  <c r="AS36" i="1" s="1"/>
  <c r="AO36" i="1"/>
  <c r="AR36" i="1" s="1"/>
  <c r="AP33" i="1"/>
  <c r="AN33" i="1"/>
  <c r="AQ33" i="1" s="1"/>
  <c r="AS33" i="1" s="1"/>
  <c r="AO33" i="1"/>
  <c r="AR33" i="1" s="1"/>
  <c r="AP28" i="1"/>
  <c r="AO28" i="1"/>
  <c r="AR28" i="1" s="1"/>
  <c r="AN28" i="1"/>
  <c r="AQ28" i="1" s="1"/>
  <c r="AS28" i="1" s="1"/>
  <c r="AP15" i="1"/>
  <c r="AO15" i="1"/>
  <c r="AR15" i="1" s="1"/>
  <c r="AN15" i="1"/>
  <c r="AQ15" i="1" s="1"/>
  <c r="AS15" i="1" s="1"/>
  <c r="AP12" i="1"/>
  <c r="AO12" i="1"/>
  <c r="AR12" i="1" s="1"/>
  <c r="AN12" i="1"/>
  <c r="AQ12" i="1" s="1"/>
  <c r="AS12" i="1" s="1"/>
  <c r="AP22" i="1"/>
  <c r="AN22" i="1"/>
  <c r="AQ22" i="1" s="1"/>
  <c r="AS22" i="1" s="1"/>
  <c r="AO22" i="1"/>
  <c r="AR22" i="1" s="1"/>
  <c r="AP14" i="1"/>
  <c r="AO14" i="1"/>
  <c r="AR14" i="1" s="1"/>
  <c r="AN14" i="1"/>
  <c r="AQ14" i="1" s="1"/>
  <c r="AS14" i="1" s="1"/>
  <c r="AP35" i="1"/>
  <c r="AO35" i="1"/>
  <c r="AR35" i="1" s="1"/>
  <c r="AN35" i="1"/>
  <c r="AQ35" i="1" s="1"/>
  <c r="AS35" i="1" s="1"/>
  <c r="AP25" i="1"/>
  <c r="AO25" i="1"/>
  <c r="AR25" i="1" s="1"/>
  <c r="AN25" i="1"/>
  <c r="AQ25" i="1" s="1"/>
  <c r="AS25" i="1" s="1"/>
  <c r="AO2" i="1"/>
  <c r="AR2" i="1" s="1"/>
  <c r="AP2" i="1"/>
  <c r="AN2" i="1"/>
  <c r="AQ2" i="1" s="1"/>
  <c r="AS2" i="1" s="1"/>
  <c r="AP41" i="1"/>
  <c r="AO41" i="1"/>
  <c r="AR41" i="1" s="1"/>
  <c r="AN41" i="1"/>
  <c r="AQ41" i="1" s="1"/>
  <c r="AS41" i="1" s="1"/>
  <c r="AP3" i="1"/>
  <c r="AO3" i="1"/>
  <c r="AR3" i="1" s="1"/>
  <c r="AN3" i="1"/>
  <c r="AQ3" i="1" s="1"/>
  <c r="AS3" i="1" s="1"/>
  <c r="AP31" i="1"/>
  <c r="AO31" i="1"/>
  <c r="AR31" i="1" s="1"/>
  <c r="AN31" i="1"/>
  <c r="AQ31" i="1" s="1"/>
  <c r="AS31" i="1" s="1"/>
  <c r="AP6" i="1"/>
  <c r="AN6" i="1"/>
  <c r="AQ6" i="1" s="1"/>
  <c r="AS6" i="1" s="1"/>
  <c r="AO6" i="1"/>
  <c r="AR6" i="1" s="1"/>
  <c r="Q96" i="1"/>
  <c r="U94" i="1" s="1"/>
  <c r="S95" i="1"/>
  <c r="L10" i="1"/>
  <c r="K10" i="1" s="1"/>
  <c r="J9" i="1"/>
  <c r="BD37" i="1" l="1"/>
  <c r="CH37" i="1"/>
  <c r="BD40" i="1"/>
  <c r="CH40" i="1"/>
  <c r="BD21" i="1"/>
  <c r="CH21" i="1"/>
  <c r="BD7" i="1"/>
  <c r="CH7" i="1"/>
  <c r="BD23" i="1"/>
  <c r="CH23" i="1"/>
  <c r="BD24" i="1"/>
  <c r="CH24" i="1"/>
  <c r="BD20" i="1"/>
  <c r="CH20" i="1"/>
  <c r="BD8" i="1"/>
  <c r="CH8" i="1"/>
  <c r="BD9" i="1"/>
  <c r="CH9" i="1"/>
  <c r="BD13" i="1"/>
  <c r="CH13" i="1"/>
  <c r="BD11" i="1"/>
  <c r="CH11" i="1"/>
  <c r="BD10" i="1"/>
  <c r="CH10" i="1"/>
  <c r="BD29" i="1"/>
  <c r="CH29" i="1"/>
  <c r="BD16" i="1"/>
  <c r="CH16" i="1"/>
  <c r="BD39" i="1"/>
  <c r="CH39" i="1"/>
  <c r="BD4" i="1"/>
  <c r="CH4" i="1"/>
  <c r="BD5" i="1"/>
  <c r="CH5" i="1"/>
  <c r="BD26" i="1"/>
  <c r="CH26" i="1"/>
  <c r="BD30" i="1"/>
  <c r="CH30" i="1"/>
  <c r="BD17" i="1"/>
  <c r="CH17" i="1"/>
  <c r="BC25" i="1"/>
  <c r="CC25" i="1"/>
  <c r="BC12" i="1"/>
  <c r="CC12" i="1"/>
  <c r="BC42" i="1"/>
  <c r="CC42" i="1"/>
  <c r="BC41" i="1"/>
  <c r="CC41" i="1"/>
  <c r="BC31" i="1"/>
  <c r="CC31" i="1"/>
  <c r="BC2" i="1"/>
  <c r="CC2" i="1"/>
  <c r="BC36" i="1"/>
  <c r="CC36" i="1"/>
  <c r="BC32" i="1"/>
  <c r="CC32" i="1"/>
  <c r="BC19" i="1"/>
  <c r="CC19" i="1"/>
  <c r="BC14" i="1"/>
  <c r="CC14" i="1"/>
  <c r="BC28" i="1"/>
  <c r="CC28" i="1"/>
  <c r="BC33" i="1"/>
  <c r="CC33" i="1"/>
  <c r="BC34" i="1"/>
  <c r="CC34" i="1"/>
  <c r="BC6" i="1"/>
  <c r="CC6" i="1"/>
  <c r="BC22" i="1"/>
  <c r="CC22" i="1"/>
  <c r="BC3" i="1"/>
  <c r="CC3" i="1"/>
  <c r="BC35" i="1"/>
  <c r="CC35" i="1"/>
  <c r="BC15" i="1"/>
  <c r="CC15" i="1"/>
  <c r="BC18" i="1"/>
  <c r="CC18" i="1"/>
  <c r="BC38" i="1"/>
  <c r="CC38" i="1"/>
  <c r="BC27" i="1"/>
  <c r="CC27" i="1"/>
  <c r="Q95" i="1"/>
  <c r="U93" i="1" s="1"/>
  <c r="S94" i="1"/>
  <c r="L11" i="1"/>
  <c r="K11" i="1" s="1"/>
  <c r="J10" i="1"/>
  <c r="CI17" i="1" l="1"/>
  <c r="CK17" i="1"/>
  <c r="CL17" i="1" s="1"/>
  <c r="CM17" i="1" s="1"/>
  <c r="CI26" i="1"/>
  <c r="CK26" i="1"/>
  <c r="CL26" i="1" s="1"/>
  <c r="CM26" i="1" s="1"/>
  <c r="CI4" i="1"/>
  <c r="CK4" i="1"/>
  <c r="CL4" i="1" s="1"/>
  <c r="CM4" i="1" s="1"/>
  <c r="CI16" i="1"/>
  <c r="CK16" i="1"/>
  <c r="CL16" i="1" s="1"/>
  <c r="CM16" i="1" s="1"/>
  <c r="CI10" i="1"/>
  <c r="CK10" i="1"/>
  <c r="CL10" i="1" s="1"/>
  <c r="CM10" i="1" s="1"/>
  <c r="CI13" i="1"/>
  <c r="CK13" i="1"/>
  <c r="CL13" i="1" s="1"/>
  <c r="CM13" i="1" s="1"/>
  <c r="CI8" i="1"/>
  <c r="CK8" i="1"/>
  <c r="CL8" i="1" s="1"/>
  <c r="CM8" i="1" s="1"/>
  <c r="CI24" i="1"/>
  <c r="CK24" i="1"/>
  <c r="CL24" i="1" s="1"/>
  <c r="CM24" i="1" s="1"/>
  <c r="CI7" i="1"/>
  <c r="CK7" i="1"/>
  <c r="CL7" i="1" s="1"/>
  <c r="CM7" i="1" s="1"/>
  <c r="CI40" i="1"/>
  <c r="CK40" i="1"/>
  <c r="CL40" i="1" s="1"/>
  <c r="CM40" i="1" s="1"/>
  <c r="BD38" i="1"/>
  <c r="CH38" i="1"/>
  <c r="BD15" i="1"/>
  <c r="CH15" i="1"/>
  <c r="BD3" i="1"/>
  <c r="CH3" i="1"/>
  <c r="BD6" i="1"/>
  <c r="CH6" i="1"/>
  <c r="BD33" i="1"/>
  <c r="CH33" i="1"/>
  <c r="BD14" i="1"/>
  <c r="CH14" i="1"/>
  <c r="BD32" i="1"/>
  <c r="CH32" i="1"/>
  <c r="BD2" i="1"/>
  <c r="CH2" i="1"/>
  <c r="BD41" i="1"/>
  <c r="CH41" i="1"/>
  <c r="BD12" i="1"/>
  <c r="CH12" i="1"/>
  <c r="CI30" i="1"/>
  <c r="CK30" i="1"/>
  <c r="CL30" i="1" s="1"/>
  <c r="CM30" i="1" s="1"/>
  <c r="CI5" i="1"/>
  <c r="CK5" i="1"/>
  <c r="CL5" i="1" s="1"/>
  <c r="CM5" i="1" s="1"/>
  <c r="CI39" i="1"/>
  <c r="CK39" i="1"/>
  <c r="CL39" i="1" s="1"/>
  <c r="CM39" i="1" s="1"/>
  <c r="CI29" i="1"/>
  <c r="CK29" i="1"/>
  <c r="CL29" i="1" s="1"/>
  <c r="CM29" i="1" s="1"/>
  <c r="CI11" i="1"/>
  <c r="CK11" i="1"/>
  <c r="CL11" i="1" s="1"/>
  <c r="CM11" i="1" s="1"/>
  <c r="CI9" i="1"/>
  <c r="CK9" i="1"/>
  <c r="CL9" i="1" s="1"/>
  <c r="CM9" i="1" s="1"/>
  <c r="CI20" i="1"/>
  <c r="CK20" i="1"/>
  <c r="CL20" i="1" s="1"/>
  <c r="CM20" i="1" s="1"/>
  <c r="CI23" i="1"/>
  <c r="CK23" i="1"/>
  <c r="CL23" i="1" s="1"/>
  <c r="CM23" i="1" s="1"/>
  <c r="CI21" i="1"/>
  <c r="CK21" i="1"/>
  <c r="CL21" i="1" s="1"/>
  <c r="CM21" i="1" s="1"/>
  <c r="CI37" i="1"/>
  <c r="CK37" i="1"/>
  <c r="CL37" i="1" s="1"/>
  <c r="CM37" i="1" s="1"/>
  <c r="BD27" i="1"/>
  <c r="CH27" i="1"/>
  <c r="BD18" i="1"/>
  <c r="CH18" i="1"/>
  <c r="BD35" i="1"/>
  <c r="CH35" i="1"/>
  <c r="BD22" i="1"/>
  <c r="CH22" i="1"/>
  <c r="BD34" i="1"/>
  <c r="CH34" i="1"/>
  <c r="BD28" i="1"/>
  <c r="CH28" i="1"/>
  <c r="BD19" i="1"/>
  <c r="CH19" i="1"/>
  <c r="BD36" i="1"/>
  <c r="CH36" i="1"/>
  <c r="BD31" i="1"/>
  <c r="CH31" i="1"/>
  <c r="BD42" i="1"/>
  <c r="CH42" i="1"/>
  <c r="BD25" i="1"/>
  <c r="CH25" i="1"/>
  <c r="Q94" i="1"/>
  <c r="U92" i="1" s="1"/>
  <c r="S93" i="1"/>
  <c r="L12" i="1"/>
  <c r="K12" i="1" s="1"/>
  <c r="J11" i="1"/>
  <c r="CI25" i="1" l="1"/>
  <c r="CK25" i="1"/>
  <c r="CL25" i="1" s="1"/>
  <c r="CM25" i="1" s="1"/>
  <c r="CI19" i="1"/>
  <c r="CK19" i="1"/>
  <c r="CL19" i="1" s="1"/>
  <c r="CM19" i="1" s="1"/>
  <c r="CI27" i="1"/>
  <c r="CK27" i="1"/>
  <c r="CL27" i="1" s="1"/>
  <c r="CM27" i="1" s="1"/>
  <c r="CI14" i="1"/>
  <c r="CK14" i="1"/>
  <c r="CL14" i="1" s="1"/>
  <c r="CM14" i="1" s="1"/>
  <c r="CK42" i="1"/>
  <c r="CL42" i="1" s="1"/>
  <c r="CM42" i="1" s="1"/>
  <c r="CI42" i="1"/>
  <c r="CI36" i="1"/>
  <c r="CK36" i="1"/>
  <c r="CL36" i="1" s="1"/>
  <c r="CM36" i="1" s="1"/>
  <c r="CI28" i="1"/>
  <c r="CK28" i="1"/>
  <c r="CL28" i="1" s="1"/>
  <c r="CM28" i="1" s="1"/>
  <c r="CK22" i="1"/>
  <c r="CL22" i="1" s="1"/>
  <c r="CM22" i="1" s="1"/>
  <c r="CI22" i="1"/>
  <c r="CI18" i="1"/>
  <c r="CK18" i="1"/>
  <c r="CL18" i="1" s="1"/>
  <c r="CM18" i="1" s="1"/>
  <c r="CI41" i="1"/>
  <c r="CK41" i="1"/>
  <c r="CL41" i="1" s="1"/>
  <c r="CM41" i="1" s="1"/>
  <c r="CI32" i="1"/>
  <c r="CK32" i="1"/>
  <c r="CL32" i="1" s="1"/>
  <c r="CM32" i="1" s="1"/>
  <c r="CI33" i="1"/>
  <c r="CK33" i="1"/>
  <c r="CL33" i="1" s="1"/>
  <c r="CM33" i="1" s="1"/>
  <c r="CK3" i="1"/>
  <c r="CL3" i="1" s="1"/>
  <c r="CM3" i="1" s="1"/>
  <c r="CI3" i="1"/>
  <c r="CI38" i="1"/>
  <c r="CK38" i="1"/>
  <c r="CL38" i="1" s="1"/>
  <c r="CM38" i="1" s="1"/>
  <c r="CI31" i="1"/>
  <c r="CK31" i="1"/>
  <c r="CL31" i="1" s="1"/>
  <c r="CM31" i="1" s="1"/>
  <c r="CI34" i="1"/>
  <c r="CK34" i="1"/>
  <c r="CL34" i="1" s="1"/>
  <c r="CM34" i="1" s="1"/>
  <c r="CI35" i="1"/>
  <c r="CK35" i="1"/>
  <c r="CL35" i="1" s="1"/>
  <c r="CM35" i="1" s="1"/>
  <c r="CI12" i="1"/>
  <c r="CK12" i="1"/>
  <c r="CL12" i="1" s="1"/>
  <c r="CM12" i="1" s="1"/>
  <c r="CK2" i="1"/>
  <c r="CL2" i="1" s="1"/>
  <c r="CM2" i="1" s="1"/>
  <c r="CI2" i="1"/>
  <c r="CI6" i="1"/>
  <c r="CK6" i="1"/>
  <c r="CL6" i="1" s="1"/>
  <c r="CM6" i="1" s="1"/>
  <c r="CI15" i="1"/>
  <c r="CK15" i="1"/>
  <c r="CL15" i="1" s="1"/>
  <c r="CM15" i="1" s="1"/>
  <c r="Q93" i="1"/>
  <c r="U91" i="1" s="1"/>
  <c r="S92" i="1"/>
  <c r="L13" i="1"/>
  <c r="K13" i="1" s="1"/>
  <c r="J12" i="1"/>
  <c r="B24" i="1" l="1"/>
  <c r="Q92" i="1"/>
  <c r="U90" i="1" s="1"/>
  <c r="S91" i="1"/>
  <c r="L14" i="1"/>
  <c r="K14" i="1" s="1"/>
  <c r="J13" i="1"/>
  <c r="Q91" i="1" l="1"/>
  <c r="U89" i="1" s="1"/>
  <c r="S90" i="1"/>
  <c r="L15" i="1"/>
  <c r="K15" i="1" s="1"/>
  <c r="J14" i="1"/>
  <c r="Q90" i="1" l="1"/>
  <c r="U88" i="1" s="1"/>
  <c r="S89" i="1"/>
  <c r="L16" i="1"/>
  <c r="K16" i="1" s="1"/>
  <c r="J15" i="1"/>
  <c r="Q89" i="1" l="1"/>
  <c r="U87" i="1" s="1"/>
  <c r="S88" i="1"/>
  <c r="L17" i="1"/>
  <c r="K17" i="1" s="1"/>
  <c r="J16" i="1"/>
  <c r="Q88" i="1" l="1"/>
  <c r="U86" i="1" s="1"/>
  <c r="S87" i="1"/>
  <c r="L18" i="1"/>
  <c r="K18" i="1" s="1"/>
  <c r="J17" i="1"/>
  <c r="Q87" i="1" l="1"/>
  <c r="U85" i="1" s="1"/>
  <c r="S86" i="1"/>
  <c r="L19" i="1"/>
  <c r="K19" i="1" s="1"/>
  <c r="J18" i="1"/>
  <c r="Q86" i="1" l="1"/>
  <c r="U84" i="1" s="1"/>
  <c r="S85" i="1"/>
  <c r="L20" i="1"/>
  <c r="K20" i="1" s="1"/>
  <c r="J19" i="1"/>
  <c r="Q85" i="1" l="1"/>
  <c r="U83" i="1" s="1"/>
  <c r="S84" i="1"/>
  <c r="L21" i="1"/>
  <c r="K21" i="1" s="1"/>
  <c r="J20" i="1"/>
  <c r="Q84" i="1" l="1"/>
  <c r="U82" i="1" s="1"/>
  <c r="S83" i="1"/>
  <c r="L22" i="1"/>
  <c r="K22" i="1" s="1"/>
  <c r="J21" i="1"/>
  <c r="Q83" i="1" l="1"/>
  <c r="U81" i="1" s="1"/>
  <c r="S82" i="1"/>
  <c r="L23" i="1"/>
  <c r="K23" i="1" s="1"/>
  <c r="J22" i="1"/>
  <c r="Q82" i="1" l="1"/>
  <c r="U80" i="1" s="1"/>
  <c r="S81" i="1"/>
  <c r="L24" i="1"/>
  <c r="K24" i="1" s="1"/>
  <c r="J23" i="1"/>
  <c r="Q81" i="1" l="1"/>
  <c r="U79" i="1" s="1"/>
  <c r="S80" i="1"/>
  <c r="L25" i="1"/>
  <c r="K25" i="1" s="1"/>
  <c r="J24" i="1"/>
  <c r="Q80" i="1" l="1"/>
  <c r="U78" i="1" s="1"/>
  <c r="S79" i="1"/>
  <c r="L26" i="1"/>
  <c r="K26" i="1" s="1"/>
  <c r="J25" i="1"/>
  <c r="Q79" i="1" l="1"/>
  <c r="U77" i="1" s="1"/>
  <c r="S78" i="1"/>
  <c r="L27" i="1"/>
  <c r="K27" i="1" s="1"/>
  <c r="J26" i="1"/>
  <c r="Q78" i="1" l="1"/>
  <c r="U76" i="1" s="1"/>
  <c r="S77" i="1"/>
  <c r="L28" i="1"/>
  <c r="K28" i="1" s="1"/>
  <c r="J27" i="1"/>
  <c r="Q77" i="1" l="1"/>
  <c r="U75" i="1" s="1"/>
  <c r="S76" i="1"/>
  <c r="L29" i="1"/>
  <c r="K29" i="1" s="1"/>
  <c r="J28" i="1"/>
  <c r="Q76" i="1" l="1"/>
  <c r="U74" i="1" s="1"/>
  <c r="S75" i="1"/>
  <c r="L30" i="1"/>
  <c r="K30" i="1" s="1"/>
  <c r="J29" i="1"/>
  <c r="Q75" i="1" l="1"/>
  <c r="U73" i="1" s="1"/>
  <c r="S74" i="1"/>
  <c r="L31" i="1"/>
  <c r="K31" i="1" s="1"/>
  <c r="J30" i="1"/>
  <c r="Q74" i="1" l="1"/>
  <c r="U72" i="1" s="1"/>
  <c r="S73" i="1"/>
  <c r="L32" i="1"/>
  <c r="K32" i="1" s="1"/>
  <c r="J31" i="1"/>
  <c r="Q73" i="1" l="1"/>
  <c r="U71" i="1" s="1"/>
  <c r="S72" i="1"/>
  <c r="L33" i="1"/>
  <c r="K33" i="1" s="1"/>
  <c r="J32" i="1"/>
  <c r="Q72" i="1" l="1"/>
  <c r="U70" i="1" s="1"/>
  <c r="S71" i="1"/>
  <c r="L34" i="1"/>
  <c r="K34" i="1" s="1"/>
  <c r="J33" i="1"/>
  <c r="Q71" i="1" l="1"/>
  <c r="U69" i="1" s="1"/>
  <c r="S70" i="1"/>
  <c r="L35" i="1"/>
  <c r="K35" i="1" s="1"/>
  <c r="J34" i="1"/>
  <c r="Q70" i="1" l="1"/>
  <c r="U68" i="1" s="1"/>
  <c r="S69" i="1"/>
  <c r="L36" i="1"/>
  <c r="K36" i="1" s="1"/>
  <c r="J35" i="1"/>
  <c r="Q69" i="1" l="1"/>
  <c r="U67" i="1" s="1"/>
  <c r="S68" i="1"/>
  <c r="L37" i="1"/>
  <c r="K37" i="1" s="1"/>
  <c r="J36" i="1"/>
  <c r="Q68" i="1" l="1"/>
  <c r="U66" i="1" s="1"/>
  <c r="S67" i="1"/>
  <c r="L38" i="1"/>
  <c r="K38" i="1" s="1"/>
  <c r="J37" i="1"/>
  <c r="Q67" i="1" l="1"/>
  <c r="U65" i="1" s="1"/>
  <c r="S66" i="1"/>
  <c r="L39" i="1"/>
  <c r="K39" i="1" s="1"/>
  <c r="J38" i="1"/>
  <c r="Q66" i="1" l="1"/>
  <c r="U64" i="1" s="1"/>
  <c r="S65" i="1"/>
  <c r="L40" i="1"/>
  <c r="K40" i="1" s="1"/>
  <c r="J39" i="1"/>
  <c r="Q65" i="1" l="1"/>
  <c r="U63" i="1" s="1"/>
  <c r="S64" i="1"/>
  <c r="L41" i="1"/>
  <c r="K41" i="1" s="1"/>
  <c r="J40" i="1"/>
  <c r="Q64" i="1" l="1"/>
  <c r="U62" i="1" s="1"/>
  <c r="S63" i="1"/>
  <c r="L42" i="1"/>
  <c r="K42" i="1" s="1"/>
  <c r="J41" i="1"/>
  <c r="Q63" i="1" l="1"/>
  <c r="U61" i="1" s="1"/>
  <c r="S62" i="1"/>
  <c r="L43" i="1"/>
  <c r="K43" i="1" s="1"/>
  <c r="J42" i="1"/>
  <c r="Q62" i="1" l="1"/>
  <c r="U60" i="1" s="1"/>
  <c r="S61" i="1"/>
  <c r="L44" i="1"/>
  <c r="K44" i="1" s="1"/>
  <c r="J43" i="1"/>
  <c r="Q61" i="1" l="1"/>
  <c r="U59" i="1" s="1"/>
  <c r="S60" i="1"/>
  <c r="L45" i="1"/>
  <c r="K45" i="1" s="1"/>
  <c r="J44" i="1"/>
  <c r="Q60" i="1" l="1"/>
  <c r="U58" i="1" s="1"/>
  <c r="S59" i="1"/>
  <c r="L46" i="1"/>
  <c r="K46" i="1" s="1"/>
  <c r="J45" i="1"/>
  <c r="Q59" i="1" l="1"/>
  <c r="U57" i="1" s="1"/>
  <c r="S58" i="1"/>
  <c r="L47" i="1"/>
  <c r="K47" i="1" s="1"/>
  <c r="J46" i="1"/>
  <c r="Q58" i="1" l="1"/>
  <c r="U56" i="1" s="1"/>
  <c r="S57" i="1"/>
  <c r="L48" i="1"/>
  <c r="K48" i="1" s="1"/>
  <c r="J47" i="1"/>
  <c r="Q57" i="1" l="1"/>
  <c r="S56" i="1"/>
  <c r="L49" i="1"/>
  <c r="K49" i="1" s="1"/>
  <c r="J48" i="1"/>
  <c r="U55" i="1" l="1"/>
  <c r="BO30" i="1"/>
  <c r="BX30" i="1" s="1"/>
  <c r="BZ30" i="1" s="1"/>
  <c r="BO5" i="1"/>
  <c r="BX5" i="1" s="1"/>
  <c r="BZ5" i="1" s="1"/>
  <c r="BO9" i="1"/>
  <c r="BX9" i="1" s="1"/>
  <c r="BZ9" i="1" s="1"/>
  <c r="BO13" i="1"/>
  <c r="BX13" i="1" s="1"/>
  <c r="BZ13" i="1" s="1"/>
  <c r="BO38" i="1"/>
  <c r="BX38" i="1" s="1"/>
  <c r="BZ38" i="1" s="1"/>
  <c r="BO8" i="1"/>
  <c r="BX8" i="1" s="1"/>
  <c r="BZ8" i="1" s="1"/>
  <c r="BO10" i="1"/>
  <c r="BX10" i="1" s="1"/>
  <c r="BZ10" i="1" s="1"/>
  <c r="BO22" i="1"/>
  <c r="BX22" i="1" s="1"/>
  <c r="BZ22" i="1" s="1"/>
  <c r="BO4" i="1"/>
  <c r="BX4" i="1" s="1"/>
  <c r="BZ4" i="1" s="1"/>
  <c r="BO12" i="1"/>
  <c r="BX12" i="1" s="1"/>
  <c r="BZ12" i="1" s="1"/>
  <c r="BO18" i="1"/>
  <c r="BX18" i="1" s="1"/>
  <c r="BZ18" i="1" s="1"/>
  <c r="BO34" i="1"/>
  <c r="BX34" i="1" s="1"/>
  <c r="BZ34" i="1" s="1"/>
  <c r="BO2" i="1"/>
  <c r="BX2" i="1" s="1"/>
  <c r="BZ2" i="1" s="1"/>
  <c r="BO3" i="1"/>
  <c r="BX3" i="1" s="1"/>
  <c r="BZ3" i="1" s="1"/>
  <c r="BO7" i="1"/>
  <c r="BX7" i="1" s="1"/>
  <c r="BZ7" i="1" s="1"/>
  <c r="BO11" i="1"/>
  <c r="BX11" i="1" s="1"/>
  <c r="BZ11" i="1" s="1"/>
  <c r="BO26" i="1"/>
  <c r="BX26" i="1" s="1"/>
  <c r="BZ26" i="1" s="1"/>
  <c r="BO42" i="1"/>
  <c r="BX42" i="1" s="1"/>
  <c r="BZ42" i="1" s="1"/>
  <c r="BO6" i="1"/>
  <c r="BX6" i="1" s="1"/>
  <c r="BZ6" i="1" s="1"/>
  <c r="BO14" i="1"/>
  <c r="BX14" i="1" s="1"/>
  <c r="BZ14" i="1" s="1"/>
  <c r="BO37" i="1"/>
  <c r="BX37" i="1" s="1"/>
  <c r="BZ37" i="1" s="1"/>
  <c r="BO39" i="1"/>
  <c r="BX39" i="1" s="1"/>
  <c r="BZ39" i="1" s="1"/>
  <c r="BO27" i="1"/>
  <c r="BX27" i="1" s="1"/>
  <c r="BZ27" i="1" s="1"/>
  <c r="BO17" i="1"/>
  <c r="BX17" i="1" s="1"/>
  <c r="BZ17" i="1" s="1"/>
  <c r="BO36" i="1"/>
  <c r="BX36" i="1" s="1"/>
  <c r="BZ36" i="1" s="1"/>
  <c r="BO23" i="1"/>
  <c r="BX23" i="1" s="1"/>
  <c r="BZ23" i="1" s="1"/>
  <c r="BO41" i="1"/>
  <c r="BX41" i="1" s="1"/>
  <c r="BZ41" i="1" s="1"/>
  <c r="BO31" i="1"/>
  <c r="BX31" i="1" s="1"/>
  <c r="BZ31" i="1" s="1"/>
  <c r="BO33" i="1"/>
  <c r="BX33" i="1" s="1"/>
  <c r="BZ33" i="1" s="1"/>
  <c r="BO32" i="1"/>
  <c r="BX32" i="1" s="1"/>
  <c r="BZ32" i="1" s="1"/>
  <c r="BO20" i="1"/>
  <c r="BX20" i="1" s="1"/>
  <c r="BZ20" i="1" s="1"/>
  <c r="BO15" i="1"/>
  <c r="BX15" i="1" s="1"/>
  <c r="BZ15" i="1" s="1"/>
  <c r="BO24" i="1"/>
  <c r="BX24" i="1" s="1"/>
  <c r="BZ24" i="1" s="1"/>
  <c r="BO21" i="1"/>
  <c r="BX21" i="1" s="1"/>
  <c r="BZ21" i="1" s="1"/>
  <c r="BO35" i="1"/>
  <c r="BX35" i="1" s="1"/>
  <c r="BZ35" i="1" s="1"/>
  <c r="BO29" i="1"/>
  <c r="BX29" i="1" s="1"/>
  <c r="BZ29" i="1" s="1"/>
  <c r="BO40" i="1"/>
  <c r="BX40" i="1" s="1"/>
  <c r="BZ40" i="1" s="1"/>
  <c r="BO28" i="1"/>
  <c r="BX28" i="1" s="1"/>
  <c r="BZ28" i="1" s="1"/>
  <c r="BO16" i="1"/>
  <c r="BX16" i="1" s="1"/>
  <c r="BZ16" i="1" s="1"/>
  <c r="BO19" i="1"/>
  <c r="BX19" i="1" s="1"/>
  <c r="BZ19" i="1" s="1"/>
  <c r="BO25" i="1"/>
  <c r="BX25" i="1" s="1"/>
  <c r="BZ25" i="1" s="1"/>
  <c r="Q56" i="1"/>
  <c r="U54" i="1" s="1"/>
  <c r="S55" i="1"/>
  <c r="L50" i="1"/>
  <c r="K50" i="1" s="1"/>
  <c r="J49" i="1"/>
  <c r="Q55" i="1" l="1"/>
  <c r="U53" i="1" s="1"/>
  <c r="S54" i="1"/>
  <c r="L51" i="1"/>
  <c r="K51" i="1" s="1"/>
  <c r="J50" i="1"/>
  <c r="Q54" i="1" l="1"/>
  <c r="U52" i="1" s="1"/>
  <c r="S53" i="1"/>
  <c r="L52" i="1"/>
  <c r="K52" i="1" s="1"/>
  <c r="J51" i="1"/>
  <c r="Q53" i="1" l="1"/>
  <c r="U51" i="1" s="1"/>
  <c r="S52" i="1"/>
  <c r="L53" i="1"/>
  <c r="K53" i="1" s="1"/>
  <c r="J52" i="1"/>
  <c r="Q52" i="1" l="1"/>
  <c r="U50" i="1" s="1"/>
  <c r="S51" i="1"/>
  <c r="L54" i="1"/>
  <c r="K54" i="1" s="1"/>
  <c r="J53" i="1"/>
  <c r="Q51" i="1" l="1"/>
  <c r="U49" i="1" s="1"/>
  <c r="S50" i="1"/>
  <c r="L55" i="1"/>
  <c r="K55" i="1" s="1"/>
  <c r="J54" i="1"/>
  <c r="Q50" i="1" l="1"/>
  <c r="U48" i="1" s="1"/>
  <c r="S49" i="1"/>
  <c r="L56" i="1"/>
  <c r="K56" i="1" s="1"/>
  <c r="J55" i="1"/>
  <c r="Q49" i="1" l="1"/>
  <c r="U47" i="1" s="1"/>
  <c r="S48" i="1"/>
  <c r="L57" i="1"/>
  <c r="K57" i="1" s="1"/>
  <c r="J56" i="1"/>
  <c r="Q48" i="1" l="1"/>
  <c r="U46" i="1" s="1"/>
  <c r="S47" i="1"/>
  <c r="L58" i="1"/>
  <c r="K58" i="1" s="1"/>
  <c r="J57" i="1"/>
  <c r="Q47" i="1" l="1"/>
  <c r="S46" i="1"/>
  <c r="L59" i="1"/>
  <c r="K59" i="1" s="1"/>
  <c r="J58" i="1"/>
  <c r="U45" i="1" l="1"/>
  <c r="BK38" i="1"/>
  <c r="BK30" i="1"/>
  <c r="BK22" i="1"/>
  <c r="BK12" i="1"/>
  <c r="BK11" i="1"/>
  <c r="BK33" i="1"/>
  <c r="BK25" i="1"/>
  <c r="BK17" i="1"/>
  <c r="BK10" i="1"/>
  <c r="BK9" i="1"/>
  <c r="BK15" i="1"/>
  <c r="BK41" i="1"/>
  <c r="BK36" i="1"/>
  <c r="BK28" i="1"/>
  <c r="BK20" i="1"/>
  <c r="BK4" i="1"/>
  <c r="BK7" i="1"/>
  <c r="BK6" i="1"/>
  <c r="BK31" i="1"/>
  <c r="BK23" i="1"/>
  <c r="BK5" i="1"/>
  <c r="BK8" i="1"/>
  <c r="BK34" i="1"/>
  <c r="BK26" i="1"/>
  <c r="BK18" i="1"/>
  <c r="BK40" i="1"/>
  <c r="BK3" i="1"/>
  <c r="BK39" i="1"/>
  <c r="BK29" i="1"/>
  <c r="BK21" i="1"/>
  <c r="BK37" i="1"/>
  <c r="BK13" i="1"/>
  <c r="BK42" i="1"/>
  <c r="BK32" i="1"/>
  <c r="BK24" i="1"/>
  <c r="BK16" i="1"/>
  <c r="BK2" i="1"/>
  <c r="BK35" i="1"/>
  <c r="BK27" i="1"/>
  <c r="BK19" i="1"/>
  <c r="BK14" i="1"/>
  <c r="Q46" i="1"/>
  <c r="U44" i="1" s="1"/>
  <c r="S45" i="1"/>
  <c r="L60" i="1"/>
  <c r="K60" i="1" s="1"/>
  <c r="J59" i="1"/>
  <c r="Q45" i="1" l="1"/>
  <c r="U43" i="1" s="1"/>
  <c r="S44" i="1"/>
  <c r="L61" i="1"/>
  <c r="K61" i="1" s="1"/>
  <c r="J60" i="1"/>
  <c r="Q44" i="1" l="1"/>
  <c r="U42" i="1" s="1"/>
  <c r="S43" i="1"/>
  <c r="L62" i="1"/>
  <c r="K62" i="1" s="1"/>
  <c r="J61" i="1"/>
  <c r="Q43" i="1" l="1"/>
  <c r="U41" i="1" s="1"/>
  <c r="S42" i="1"/>
  <c r="BJ42" i="1" s="1"/>
  <c r="BL42" i="1" s="1"/>
  <c r="BM42" i="1" s="1"/>
  <c r="CA42" i="1" s="1"/>
  <c r="CN42" i="1" s="1"/>
  <c r="L63" i="1"/>
  <c r="K63" i="1" s="1"/>
  <c r="J62" i="1"/>
  <c r="CO42" i="1" l="1"/>
  <c r="CP42" i="1"/>
  <c r="CQ42" i="1" s="1"/>
  <c r="Q42" i="1"/>
  <c r="U40" i="1" s="1"/>
  <c r="S41" i="1"/>
  <c r="BJ41" i="1" s="1"/>
  <c r="BL41" i="1" s="1"/>
  <c r="BM41" i="1" s="1"/>
  <c r="CA41" i="1" s="1"/>
  <c r="CN41" i="1" s="1"/>
  <c r="L64" i="1"/>
  <c r="K64" i="1" s="1"/>
  <c r="J63" i="1"/>
  <c r="CO41" i="1" l="1"/>
  <c r="CP41" i="1"/>
  <c r="CQ41" i="1" s="1"/>
  <c r="Q41" i="1"/>
  <c r="U39" i="1" s="1"/>
  <c r="S40" i="1"/>
  <c r="BJ40" i="1" s="1"/>
  <c r="BL40" i="1" s="1"/>
  <c r="BM40" i="1" s="1"/>
  <c r="CA40" i="1" s="1"/>
  <c r="CN40" i="1" s="1"/>
  <c r="L65" i="1"/>
  <c r="K65" i="1" s="1"/>
  <c r="J64" i="1"/>
  <c r="CP40" i="1" l="1"/>
  <c r="CQ40" i="1" s="1"/>
  <c r="CO40" i="1"/>
  <c r="Q40" i="1"/>
  <c r="U38" i="1" s="1"/>
  <c r="S39" i="1"/>
  <c r="BJ39" i="1" s="1"/>
  <c r="BL39" i="1" s="1"/>
  <c r="BM39" i="1" s="1"/>
  <c r="CA39" i="1" s="1"/>
  <c r="CN39" i="1" s="1"/>
  <c r="L66" i="1"/>
  <c r="K66" i="1" s="1"/>
  <c r="J65" i="1"/>
  <c r="CP39" i="1" l="1"/>
  <c r="CQ39" i="1" s="1"/>
  <c r="CO39" i="1"/>
  <c r="Q39" i="1"/>
  <c r="U37" i="1" s="1"/>
  <c r="S38" i="1"/>
  <c r="BJ38" i="1" s="1"/>
  <c r="BL38" i="1" s="1"/>
  <c r="BM38" i="1" s="1"/>
  <c r="CA38" i="1" s="1"/>
  <c r="CN38" i="1" s="1"/>
  <c r="L67" i="1"/>
  <c r="K67" i="1" s="1"/>
  <c r="J66" i="1"/>
  <c r="CP38" i="1" l="1"/>
  <c r="CQ38" i="1" s="1"/>
  <c r="CO38" i="1"/>
  <c r="Q38" i="1"/>
  <c r="U36" i="1" s="1"/>
  <c r="S37" i="1"/>
  <c r="BJ37" i="1" s="1"/>
  <c r="BL37" i="1" s="1"/>
  <c r="BM37" i="1" s="1"/>
  <c r="CA37" i="1" s="1"/>
  <c r="CN37" i="1" s="1"/>
  <c r="L68" i="1"/>
  <c r="K68" i="1" s="1"/>
  <c r="J67" i="1"/>
  <c r="CP37" i="1" l="1"/>
  <c r="CQ37" i="1" s="1"/>
  <c r="CO37" i="1"/>
  <c r="Q37" i="1"/>
  <c r="U35" i="1" s="1"/>
  <c r="S36" i="1"/>
  <c r="BJ36" i="1" s="1"/>
  <c r="BL36" i="1" s="1"/>
  <c r="BM36" i="1" s="1"/>
  <c r="CA36" i="1" s="1"/>
  <c r="CN36" i="1" s="1"/>
  <c r="L69" i="1"/>
  <c r="K69" i="1" s="1"/>
  <c r="J68" i="1"/>
  <c r="CP36" i="1" l="1"/>
  <c r="CQ36" i="1" s="1"/>
  <c r="CO36" i="1"/>
  <c r="Q36" i="1"/>
  <c r="U34" i="1" s="1"/>
  <c r="S35" i="1"/>
  <c r="BJ35" i="1" s="1"/>
  <c r="BL35" i="1" s="1"/>
  <c r="BM35" i="1" s="1"/>
  <c r="CA35" i="1" s="1"/>
  <c r="CN35" i="1" s="1"/>
  <c r="L70" i="1"/>
  <c r="K70" i="1" s="1"/>
  <c r="J69" i="1"/>
  <c r="CO35" i="1" l="1"/>
  <c r="CP35" i="1"/>
  <c r="CQ35" i="1" s="1"/>
  <c r="Q35" i="1"/>
  <c r="U33" i="1" s="1"/>
  <c r="S34" i="1"/>
  <c r="BJ34" i="1" s="1"/>
  <c r="BL34" i="1" s="1"/>
  <c r="BM34" i="1" s="1"/>
  <c r="CA34" i="1" s="1"/>
  <c r="CN34" i="1" s="1"/>
  <c r="L71" i="1"/>
  <c r="K71" i="1" s="1"/>
  <c r="J70" i="1"/>
  <c r="CP34" i="1" l="1"/>
  <c r="CQ34" i="1" s="1"/>
  <c r="CO34" i="1"/>
  <c r="Q34" i="1"/>
  <c r="U32" i="1" s="1"/>
  <c r="S33" i="1"/>
  <c r="BJ33" i="1" s="1"/>
  <c r="BL33" i="1" s="1"/>
  <c r="BM33" i="1" s="1"/>
  <c r="CA33" i="1" s="1"/>
  <c r="CN33" i="1" s="1"/>
  <c r="L72" i="1"/>
  <c r="K72" i="1" s="1"/>
  <c r="J71" i="1"/>
  <c r="CO33" i="1" l="1"/>
  <c r="CP33" i="1"/>
  <c r="CQ33" i="1" s="1"/>
  <c r="Q33" i="1"/>
  <c r="U31" i="1" s="1"/>
  <c r="S32" i="1"/>
  <c r="BJ32" i="1" s="1"/>
  <c r="BL32" i="1" s="1"/>
  <c r="BM32" i="1" s="1"/>
  <c r="CA32" i="1" s="1"/>
  <c r="CN32" i="1" s="1"/>
  <c r="L73" i="1"/>
  <c r="K73" i="1" s="1"/>
  <c r="J72" i="1"/>
  <c r="CP32" i="1" l="1"/>
  <c r="CQ32" i="1" s="1"/>
  <c r="CO32" i="1"/>
  <c r="Q32" i="1"/>
  <c r="U30" i="1" s="1"/>
  <c r="S31" i="1"/>
  <c r="BJ31" i="1" s="1"/>
  <c r="BL31" i="1" s="1"/>
  <c r="BM31" i="1" s="1"/>
  <c r="CA31" i="1" s="1"/>
  <c r="CN31" i="1" s="1"/>
  <c r="L74" i="1"/>
  <c r="K74" i="1" s="1"/>
  <c r="J73" i="1"/>
  <c r="CP31" i="1" l="1"/>
  <c r="CQ31" i="1" s="1"/>
  <c r="CO31" i="1"/>
  <c r="Q31" i="1"/>
  <c r="U29" i="1" s="1"/>
  <c r="S30" i="1"/>
  <c r="BJ30" i="1" s="1"/>
  <c r="BL30" i="1" s="1"/>
  <c r="BM30" i="1" s="1"/>
  <c r="CA30" i="1" s="1"/>
  <c r="CN30" i="1" s="1"/>
  <c r="L75" i="1"/>
  <c r="K75" i="1" s="1"/>
  <c r="J74" i="1"/>
  <c r="CP30" i="1" l="1"/>
  <c r="CQ30" i="1" s="1"/>
  <c r="CO30" i="1"/>
  <c r="Q30" i="1"/>
  <c r="U28" i="1" s="1"/>
  <c r="S29" i="1"/>
  <c r="BJ29" i="1" s="1"/>
  <c r="BL29" i="1" s="1"/>
  <c r="BM29" i="1" s="1"/>
  <c r="CA29" i="1" s="1"/>
  <c r="CN29" i="1" s="1"/>
  <c r="L76" i="1"/>
  <c r="K76" i="1" s="1"/>
  <c r="J75" i="1"/>
  <c r="CO29" i="1" l="1"/>
  <c r="CP29" i="1"/>
  <c r="CQ29" i="1" s="1"/>
  <c r="Q29" i="1"/>
  <c r="U27" i="1" s="1"/>
  <c r="S28" i="1"/>
  <c r="BJ28" i="1" s="1"/>
  <c r="BL28" i="1" s="1"/>
  <c r="BM28" i="1" s="1"/>
  <c r="CA28" i="1" s="1"/>
  <c r="CN28" i="1" s="1"/>
  <c r="L77" i="1"/>
  <c r="K77" i="1" s="1"/>
  <c r="J76" i="1"/>
  <c r="CP28" i="1" l="1"/>
  <c r="CQ28" i="1" s="1"/>
  <c r="CO28" i="1"/>
  <c r="Q28" i="1"/>
  <c r="U26" i="1" s="1"/>
  <c r="S27" i="1"/>
  <c r="BJ27" i="1" s="1"/>
  <c r="BL27" i="1" s="1"/>
  <c r="BM27" i="1" s="1"/>
  <c r="CA27" i="1" s="1"/>
  <c r="CN27" i="1" s="1"/>
  <c r="L78" i="1"/>
  <c r="K78" i="1" s="1"/>
  <c r="J77" i="1"/>
  <c r="CP27" i="1" l="1"/>
  <c r="CQ27" i="1" s="1"/>
  <c r="CO27" i="1"/>
  <c r="Q27" i="1"/>
  <c r="U25" i="1" s="1"/>
  <c r="S26" i="1"/>
  <c r="BJ26" i="1" s="1"/>
  <c r="BL26" i="1" s="1"/>
  <c r="BM26" i="1" s="1"/>
  <c r="CA26" i="1" s="1"/>
  <c r="CN26" i="1" s="1"/>
  <c r="L79" i="1"/>
  <c r="K79" i="1" s="1"/>
  <c r="J78" i="1"/>
  <c r="CP26" i="1" l="1"/>
  <c r="CQ26" i="1" s="1"/>
  <c r="CO26" i="1"/>
  <c r="Q26" i="1"/>
  <c r="U24" i="1" s="1"/>
  <c r="S25" i="1"/>
  <c r="BJ25" i="1" s="1"/>
  <c r="BL25" i="1" s="1"/>
  <c r="BM25" i="1" s="1"/>
  <c r="CA25" i="1" s="1"/>
  <c r="CN25" i="1" s="1"/>
  <c r="L80" i="1"/>
  <c r="K80" i="1" s="1"/>
  <c r="J79" i="1"/>
  <c r="CO25" i="1" l="1"/>
  <c r="CP25" i="1"/>
  <c r="CQ25" i="1" s="1"/>
  <c r="Q25" i="1"/>
  <c r="U23" i="1" s="1"/>
  <c r="S24" i="1"/>
  <c r="BJ24" i="1" s="1"/>
  <c r="BL24" i="1" s="1"/>
  <c r="BM24" i="1" s="1"/>
  <c r="CA24" i="1" s="1"/>
  <c r="CN24" i="1" s="1"/>
  <c r="L81" i="1"/>
  <c r="K81" i="1" s="1"/>
  <c r="J80" i="1"/>
  <c r="CP24" i="1" l="1"/>
  <c r="CQ24" i="1" s="1"/>
  <c r="CO24" i="1"/>
  <c r="Q24" i="1"/>
  <c r="U22" i="1" s="1"/>
  <c r="S23" i="1"/>
  <c r="BJ23" i="1" s="1"/>
  <c r="BL23" i="1" s="1"/>
  <c r="BM23" i="1" s="1"/>
  <c r="CA23" i="1" s="1"/>
  <c r="CN23" i="1" s="1"/>
  <c r="L82" i="1"/>
  <c r="K82" i="1" s="1"/>
  <c r="J81" i="1"/>
  <c r="CP23" i="1" l="1"/>
  <c r="CQ23" i="1" s="1"/>
  <c r="CO23" i="1"/>
  <c r="Q23" i="1"/>
  <c r="U21" i="1" s="1"/>
  <c r="S22" i="1"/>
  <c r="BJ22" i="1" s="1"/>
  <c r="BL22" i="1" s="1"/>
  <c r="BM22" i="1" s="1"/>
  <c r="CA22" i="1" s="1"/>
  <c r="CN22" i="1" s="1"/>
  <c r="L83" i="1"/>
  <c r="K83" i="1" s="1"/>
  <c r="J82" i="1"/>
  <c r="CP22" i="1" l="1"/>
  <c r="CQ22" i="1" s="1"/>
  <c r="CO22" i="1"/>
  <c r="Q22" i="1"/>
  <c r="U20" i="1" s="1"/>
  <c r="S21" i="1"/>
  <c r="BJ21" i="1" s="1"/>
  <c r="BL21" i="1" s="1"/>
  <c r="BM21" i="1" s="1"/>
  <c r="CA21" i="1" s="1"/>
  <c r="CN21" i="1" s="1"/>
  <c r="L84" i="1"/>
  <c r="K84" i="1" s="1"/>
  <c r="J83" i="1"/>
  <c r="CO21" i="1" l="1"/>
  <c r="CP21" i="1"/>
  <c r="CQ21" i="1" s="1"/>
  <c r="Q21" i="1"/>
  <c r="U19" i="1" s="1"/>
  <c r="S20" i="1"/>
  <c r="BJ20" i="1" s="1"/>
  <c r="BL20" i="1" s="1"/>
  <c r="BM20" i="1" s="1"/>
  <c r="CA20" i="1" s="1"/>
  <c r="CN20" i="1" s="1"/>
  <c r="L85" i="1"/>
  <c r="K85" i="1" s="1"/>
  <c r="J84" i="1"/>
  <c r="CP20" i="1" l="1"/>
  <c r="CQ20" i="1" s="1"/>
  <c r="CO20" i="1"/>
  <c r="Q20" i="1"/>
  <c r="U18" i="1" s="1"/>
  <c r="S19" i="1"/>
  <c r="BJ19" i="1" s="1"/>
  <c r="BL19" i="1" s="1"/>
  <c r="BM19" i="1" s="1"/>
  <c r="CA19" i="1" s="1"/>
  <c r="CN19" i="1" s="1"/>
  <c r="L86" i="1"/>
  <c r="K86" i="1" s="1"/>
  <c r="J85" i="1"/>
  <c r="CO19" i="1" l="1"/>
  <c r="CP19" i="1"/>
  <c r="CQ19" i="1" s="1"/>
  <c r="Q19" i="1"/>
  <c r="U17" i="1" s="1"/>
  <c r="S18" i="1"/>
  <c r="BJ18" i="1" s="1"/>
  <c r="BL18" i="1" s="1"/>
  <c r="BM18" i="1" s="1"/>
  <c r="CA18" i="1" s="1"/>
  <c r="CN18" i="1" s="1"/>
  <c r="L87" i="1"/>
  <c r="K87" i="1" s="1"/>
  <c r="J86" i="1"/>
  <c r="CP18" i="1" l="1"/>
  <c r="CQ18" i="1" s="1"/>
  <c r="CO18" i="1"/>
  <c r="Q18" i="1"/>
  <c r="U16" i="1" s="1"/>
  <c r="S17" i="1"/>
  <c r="BJ17" i="1" s="1"/>
  <c r="BL17" i="1" s="1"/>
  <c r="BM17" i="1" s="1"/>
  <c r="CA17" i="1" s="1"/>
  <c r="CN17" i="1" s="1"/>
  <c r="L88" i="1"/>
  <c r="K88" i="1" s="1"/>
  <c r="J87" i="1"/>
  <c r="CP17" i="1" l="1"/>
  <c r="CQ17" i="1" s="1"/>
  <c r="CO17" i="1"/>
  <c r="Q17" i="1"/>
  <c r="U15" i="1" s="1"/>
  <c r="S16" i="1"/>
  <c r="BJ16" i="1" s="1"/>
  <c r="BL16" i="1" s="1"/>
  <c r="BM16" i="1" s="1"/>
  <c r="CA16" i="1" s="1"/>
  <c r="CN16" i="1" s="1"/>
  <c r="L89" i="1"/>
  <c r="K89" i="1" s="1"/>
  <c r="J88" i="1"/>
  <c r="CP16" i="1" l="1"/>
  <c r="CQ16" i="1" s="1"/>
  <c r="CO16" i="1"/>
  <c r="Q16" i="1"/>
  <c r="U14" i="1" s="1"/>
  <c r="S15" i="1"/>
  <c r="BJ15" i="1" s="1"/>
  <c r="BL15" i="1" s="1"/>
  <c r="BM15" i="1" s="1"/>
  <c r="CA15" i="1" s="1"/>
  <c r="CN15" i="1" s="1"/>
  <c r="L90" i="1"/>
  <c r="K90" i="1" s="1"/>
  <c r="J89" i="1"/>
  <c r="CP15" i="1" l="1"/>
  <c r="CQ15" i="1" s="1"/>
  <c r="CO15" i="1"/>
  <c r="Q15" i="1"/>
  <c r="U13" i="1" s="1"/>
  <c r="S14" i="1"/>
  <c r="BJ14" i="1" s="1"/>
  <c r="BL14" i="1" s="1"/>
  <c r="BM14" i="1" s="1"/>
  <c r="CA14" i="1" s="1"/>
  <c r="L91" i="1"/>
  <c r="K91" i="1" s="1"/>
  <c r="J90" i="1"/>
  <c r="Q14" i="1" l="1"/>
  <c r="U12" i="1" s="1"/>
  <c r="S13" i="1"/>
  <c r="BJ13" i="1" s="1"/>
  <c r="BL13" i="1" s="1"/>
  <c r="BM13" i="1" s="1"/>
  <c r="CA13" i="1" s="1"/>
  <c r="CN13" i="1" s="1"/>
  <c r="L92" i="1"/>
  <c r="K92" i="1" s="1"/>
  <c r="J91" i="1"/>
  <c r="CO13" i="1" l="1"/>
  <c r="CP13" i="1"/>
  <c r="CQ13" i="1" s="1"/>
  <c r="Q13" i="1"/>
  <c r="U11" i="1" s="1"/>
  <c r="S12" i="1"/>
  <c r="BJ12" i="1" s="1"/>
  <c r="BL12" i="1" s="1"/>
  <c r="BM12" i="1" s="1"/>
  <c r="CA12" i="1" s="1"/>
  <c r="CN12" i="1" s="1"/>
  <c r="L93" i="1"/>
  <c r="K93" i="1" s="1"/>
  <c r="J92" i="1"/>
  <c r="CP12" i="1" l="1"/>
  <c r="CQ12" i="1" s="1"/>
  <c r="CO12" i="1"/>
  <c r="Q12" i="1"/>
  <c r="U10" i="1" s="1"/>
  <c r="S11" i="1"/>
  <c r="BJ11" i="1" s="1"/>
  <c r="BL11" i="1" s="1"/>
  <c r="BM11" i="1" s="1"/>
  <c r="CA11" i="1" s="1"/>
  <c r="CN11" i="1" s="1"/>
  <c r="L94" i="1"/>
  <c r="K94" i="1" s="1"/>
  <c r="J93" i="1"/>
  <c r="CP11" i="1" l="1"/>
  <c r="CQ11" i="1" s="1"/>
  <c r="CO11" i="1"/>
  <c r="Q11" i="1"/>
  <c r="U9" i="1" s="1"/>
  <c r="S10" i="1"/>
  <c r="BJ10" i="1" s="1"/>
  <c r="BL10" i="1" s="1"/>
  <c r="BM10" i="1" s="1"/>
  <c r="CA10" i="1" s="1"/>
  <c r="CN10" i="1" s="1"/>
  <c r="L95" i="1"/>
  <c r="K95" i="1" s="1"/>
  <c r="J94" i="1"/>
  <c r="CP10" i="1" l="1"/>
  <c r="CQ10" i="1" s="1"/>
  <c r="CO10" i="1"/>
  <c r="Q10" i="1"/>
  <c r="U8" i="1" s="1"/>
  <c r="S9" i="1"/>
  <c r="BJ9" i="1" s="1"/>
  <c r="BL9" i="1" s="1"/>
  <c r="BM9" i="1" s="1"/>
  <c r="CA9" i="1" s="1"/>
  <c r="CN9" i="1" s="1"/>
  <c r="L96" i="1"/>
  <c r="K96" i="1" s="1"/>
  <c r="J95" i="1"/>
  <c r="CP9" i="1" l="1"/>
  <c r="CQ9" i="1" s="1"/>
  <c r="CO9" i="1"/>
  <c r="Q9" i="1"/>
  <c r="U7" i="1" s="1"/>
  <c r="S8" i="1"/>
  <c r="BJ8" i="1" s="1"/>
  <c r="BL8" i="1" s="1"/>
  <c r="BM8" i="1" s="1"/>
  <c r="CA8" i="1" s="1"/>
  <c r="CN8" i="1" s="1"/>
  <c r="L97" i="1"/>
  <c r="K97" i="1" s="1"/>
  <c r="J96" i="1"/>
  <c r="CP8" i="1" l="1"/>
  <c r="CQ8" i="1" s="1"/>
  <c r="CO8" i="1"/>
  <c r="Q8" i="1"/>
  <c r="U6" i="1" s="1"/>
  <c r="S7" i="1"/>
  <c r="BJ7" i="1" s="1"/>
  <c r="BL7" i="1" s="1"/>
  <c r="BM7" i="1" s="1"/>
  <c r="CA7" i="1" s="1"/>
  <c r="CN7" i="1" s="1"/>
  <c r="L98" i="1"/>
  <c r="K98" i="1" s="1"/>
  <c r="J97" i="1"/>
  <c r="CP7" i="1" l="1"/>
  <c r="CQ7" i="1" s="1"/>
  <c r="CO7" i="1"/>
  <c r="Q7" i="1"/>
  <c r="U5" i="1" s="1"/>
  <c r="S6" i="1"/>
  <c r="BJ6" i="1" s="1"/>
  <c r="BL6" i="1" s="1"/>
  <c r="BM6" i="1" s="1"/>
  <c r="CA6" i="1" s="1"/>
  <c r="CN6" i="1" s="1"/>
  <c r="L99" i="1"/>
  <c r="K99" i="1" s="1"/>
  <c r="J98" i="1"/>
  <c r="CP6" i="1" l="1"/>
  <c r="CQ6" i="1" s="1"/>
  <c r="CO6" i="1"/>
  <c r="Q6" i="1"/>
  <c r="U4" i="1" s="1"/>
  <c r="S5" i="1"/>
  <c r="BJ5" i="1" s="1"/>
  <c r="BL5" i="1" s="1"/>
  <c r="BM5" i="1" s="1"/>
  <c r="CA5" i="1" s="1"/>
  <c r="CN5" i="1" s="1"/>
  <c r="L100" i="1"/>
  <c r="K100" i="1" s="1"/>
  <c r="J99" i="1"/>
  <c r="CP5" i="1" l="1"/>
  <c r="CQ5" i="1" s="1"/>
  <c r="CO5" i="1"/>
  <c r="Q5" i="1"/>
  <c r="U3" i="1" s="1"/>
  <c r="S4" i="1"/>
  <c r="BJ4" i="1" s="1"/>
  <c r="BL4" i="1" s="1"/>
  <c r="BM4" i="1" s="1"/>
  <c r="CA4" i="1" s="1"/>
  <c r="CN4" i="1" s="1"/>
  <c r="L101" i="1"/>
  <c r="K101" i="1" s="1"/>
  <c r="J100" i="1"/>
  <c r="CP4" i="1" l="1"/>
  <c r="CQ4" i="1" s="1"/>
  <c r="CO4" i="1"/>
  <c r="Q4" i="1"/>
  <c r="U2" i="1" s="1"/>
  <c r="S3" i="1"/>
  <c r="BJ3" i="1" s="1"/>
  <c r="BL3" i="1" s="1"/>
  <c r="BM3" i="1" s="1"/>
  <c r="CA3" i="1" s="1"/>
  <c r="CN3" i="1" s="1"/>
  <c r="L102" i="1"/>
  <c r="J101" i="1"/>
  <c r="CO3" i="1" l="1"/>
  <c r="CP3" i="1"/>
  <c r="CQ3" i="1" s="1"/>
  <c r="Q3" i="1"/>
  <c r="Q2" i="1" s="1"/>
  <c r="S2" i="1"/>
  <c r="BJ2" i="1" s="1"/>
  <c r="BL2" i="1" s="1"/>
  <c r="BM2" i="1" s="1"/>
  <c r="CA2" i="1" s="1"/>
  <c r="CN2" i="1" s="1"/>
  <c r="J102" i="1"/>
  <c r="K102" i="1"/>
  <c r="CN14" i="1"/>
  <c r="CO14" i="1" s="1"/>
  <c r="CP2" i="1" l="1"/>
  <c r="CQ2" i="1" s="1"/>
  <c r="CO2" i="1"/>
  <c r="CP14" i="1"/>
  <c r="CQ14" i="1" s="1"/>
  <c r="B23" i="1" l="1"/>
  <c r="B25" i="1" s="1"/>
</calcChain>
</file>

<file path=xl/comments1.xml><?xml version="1.0" encoding="utf-8"?>
<comments xmlns="http://schemas.openxmlformats.org/spreadsheetml/2006/main">
  <authors>
    <author>nate</author>
  </authors>
  <commentList>
    <comment ref="AX1" authorId="0">
      <text>
        <r>
          <rPr>
            <b/>
            <sz val="9"/>
            <color indexed="81"/>
            <rFont val="Tahoma"/>
            <family val="2"/>
          </rPr>
          <t>nate:</t>
        </r>
        <r>
          <rPr>
            <sz val="9"/>
            <color indexed="81"/>
            <rFont val="Tahoma"/>
            <family val="2"/>
          </rPr>
          <t xml:space="preserve">
Guaranteed</t>
        </r>
      </text>
    </comment>
    <comment ref="BQ1" authorId="0">
      <text>
        <r>
          <rPr>
            <b/>
            <sz val="9"/>
            <color indexed="81"/>
            <rFont val="Tahoma"/>
            <family val="2"/>
          </rPr>
          <t>nate:</t>
        </r>
        <r>
          <rPr>
            <sz val="9"/>
            <color indexed="81"/>
            <rFont val="Tahoma"/>
            <family val="2"/>
          </rPr>
          <t xml:space="preserve">
Guaranteed</t>
        </r>
      </text>
    </comment>
    <comment ref="BZ1" authorId="0">
      <text>
        <r>
          <rPr>
            <b/>
            <sz val="9"/>
            <color indexed="81"/>
            <rFont val="Tahoma"/>
            <family val="2"/>
          </rPr>
          <t>nate:</t>
        </r>
        <r>
          <rPr>
            <sz val="9"/>
            <color indexed="81"/>
            <rFont val="Tahoma"/>
            <family val="2"/>
          </rPr>
          <t xml:space="preserve">
Variance of Benefit</t>
        </r>
      </text>
    </comment>
    <comment ref="CA1" authorId="0">
      <text>
        <r>
          <rPr>
            <b/>
            <sz val="9"/>
            <color indexed="81"/>
            <rFont val="Tahoma"/>
            <family val="2"/>
          </rPr>
          <t>nate:</t>
        </r>
        <r>
          <rPr>
            <sz val="9"/>
            <color indexed="81"/>
            <rFont val="Tahoma"/>
            <family val="2"/>
          </rPr>
          <t xml:space="preserve">
Variance of Premium</t>
        </r>
      </text>
    </comment>
    <comment ref="CJ1" authorId="0">
      <text>
        <r>
          <rPr>
            <b/>
            <sz val="9"/>
            <color indexed="81"/>
            <rFont val="Tahoma"/>
            <family val="2"/>
          </rPr>
          <t>nate:</t>
        </r>
        <r>
          <rPr>
            <sz val="9"/>
            <color indexed="81"/>
            <rFont val="Tahoma"/>
            <family val="2"/>
          </rPr>
          <t xml:space="preserve">
Benefit Outgo</t>
        </r>
      </text>
    </comment>
    <comment ref="CK1" authorId="0">
      <text>
        <r>
          <rPr>
            <b/>
            <sz val="9"/>
            <color indexed="81"/>
            <rFont val="Tahoma"/>
            <family val="2"/>
          </rPr>
          <t>nate:</t>
        </r>
        <r>
          <rPr>
            <sz val="9"/>
            <color indexed="81"/>
            <rFont val="Tahoma"/>
            <family val="2"/>
          </rPr>
          <t xml:space="preserve">
Premium Income</t>
        </r>
      </text>
    </comment>
    <comment ref="CL1" authorId="0">
      <text>
        <r>
          <rPr>
            <b/>
            <sz val="9"/>
            <color indexed="81"/>
            <rFont val="Tahoma"/>
            <family val="2"/>
          </rPr>
          <t>nate:</t>
        </r>
        <r>
          <rPr>
            <sz val="9"/>
            <color indexed="81"/>
            <rFont val="Tahoma"/>
            <family val="2"/>
          </rPr>
          <t xml:space="preserve">
E(Y) - E(Z)</t>
        </r>
      </text>
    </comment>
  </commentList>
</comments>
</file>

<file path=xl/sharedStrings.xml><?xml version="1.0" encoding="utf-8"?>
<sst xmlns="http://schemas.openxmlformats.org/spreadsheetml/2006/main" count="100" uniqueCount="85">
  <si>
    <t>Variables</t>
  </si>
  <si>
    <t>A</t>
  </si>
  <si>
    <t>B</t>
  </si>
  <si>
    <t>c</t>
  </si>
  <si>
    <t>x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</si>
  <si>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</si>
  <si>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</si>
  <si>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[x]+1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</si>
  <si>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[x]+1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</si>
  <si>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x+2</t>
    </r>
  </si>
  <si>
    <t>x+2</t>
  </si>
  <si>
    <r>
      <t>l</t>
    </r>
    <r>
      <rPr>
        <b/>
        <vertAlign val="subscript"/>
        <sz val="11"/>
        <color theme="1"/>
        <rFont val="Calibri"/>
        <family val="2"/>
        <scheme val="minor"/>
      </rPr>
      <t>20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</si>
  <si>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</si>
  <si>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t>i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</si>
  <si>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</si>
  <si>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</si>
  <si>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</si>
  <si>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</si>
  <si>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[x]+1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</si>
  <si>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[x]+1</t>
    </r>
  </si>
  <si>
    <r>
      <rPr>
        <b/>
        <sz val="11"/>
        <color theme="1"/>
        <rFont val="Calibri"/>
        <family val="2"/>
      </rPr>
      <t>ä</t>
    </r>
    <r>
      <rPr>
        <b/>
        <vertAlign val="subscript"/>
        <sz val="11"/>
        <color theme="1"/>
        <rFont val="Calibri"/>
        <family val="2"/>
      </rPr>
      <t>[x]</t>
    </r>
  </si>
  <si>
    <r>
      <t>ä</t>
    </r>
    <r>
      <rPr>
        <b/>
        <vertAlign val="subscript"/>
        <sz val="11"/>
        <color theme="1"/>
        <rFont val="Calibri"/>
        <family val="2"/>
      </rPr>
      <t>[x]+1</t>
    </r>
  </si>
  <si>
    <r>
      <rPr>
        <b/>
        <vertAlign val="subscript"/>
        <sz val="11"/>
        <color theme="1"/>
        <rFont val="Calibri"/>
        <family val="2"/>
        <scheme val="minor"/>
      </rPr>
      <t>5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</si>
  <si>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rPr>
        <b/>
        <vertAlign val="subscript"/>
        <sz val="11"/>
        <color theme="1"/>
        <rFont val="Calibri"/>
        <family val="2"/>
        <scheme val="minor"/>
      </rPr>
      <t>10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</si>
  <si>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rPr>
        <b/>
        <vertAlign val="subscript"/>
        <sz val="11"/>
        <color theme="1"/>
        <rFont val="Calibri"/>
        <family val="2"/>
        <scheme val="minor"/>
      </rPr>
      <t>20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</si>
  <si>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vertAlign val="subscript"/>
        <sz val="11"/>
        <color theme="1"/>
        <rFont val="Calibri"/>
        <family val="2"/>
        <scheme val="minor"/>
      </rPr>
      <t>5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</si>
  <si>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vertAlign val="subscript"/>
        <sz val="11"/>
        <color theme="1"/>
        <rFont val="Calibri"/>
        <family val="2"/>
        <scheme val="minor"/>
      </rPr>
      <t>10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</si>
  <si>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vertAlign val="subscript"/>
        <sz val="11"/>
        <color theme="1"/>
        <rFont val="Calibri"/>
        <family val="2"/>
        <scheme val="minor"/>
      </rPr>
      <t>20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</si>
  <si>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t>r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</si>
  <si>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>p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</si>
  <si>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b</t>
    </r>
  </si>
  <si>
    <r>
      <t>ä</t>
    </r>
    <r>
      <rPr>
        <b/>
        <vertAlign val="subscript"/>
        <sz val="11"/>
        <color theme="1"/>
        <rFont val="Calibri"/>
        <family val="2"/>
      </rPr>
      <t>[x]:u</t>
    </r>
    <r>
      <rPr>
        <b/>
        <vertAlign val="superscript"/>
        <sz val="11"/>
        <color theme="1"/>
        <rFont val="Calibri"/>
        <family val="2"/>
      </rPr>
      <t>(mp)</t>
    </r>
  </si>
  <si>
    <r>
      <t>A</t>
    </r>
    <r>
      <rPr>
        <b/>
        <vertAlign val="subscript"/>
        <sz val="11"/>
        <color theme="1"/>
        <rFont val="Calibri"/>
        <family val="2"/>
      </rPr>
      <t>[x]:u</t>
    </r>
    <r>
      <rPr>
        <b/>
        <vertAlign val="superscript"/>
        <sz val="11"/>
        <color theme="1"/>
        <rFont val="Calibri"/>
        <family val="2"/>
      </rPr>
      <t>(mp)</t>
    </r>
  </si>
  <si>
    <r>
      <t>A</t>
    </r>
    <r>
      <rPr>
        <b/>
        <vertAlign val="subscript"/>
        <sz val="11"/>
        <color theme="1"/>
        <rFont val="Calibri"/>
        <family val="2"/>
      </rPr>
      <t>[</t>
    </r>
    <r>
      <rPr>
        <b/>
        <vertAlign val="superscript"/>
        <sz val="11"/>
        <color theme="1"/>
        <rFont val="Calibri"/>
        <family val="2"/>
      </rPr>
      <t>1</t>
    </r>
    <r>
      <rPr>
        <b/>
        <vertAlign val="subscript"/>
        <sz val="11"/>
        <color theme="1"/>
        <rFont val="Calibri"/>
        <family val="2"/>
      </rPr>
      <t>x]:u</t>
    </r>
    <r>
      <rPr>
        <b/>
        <vertAlign val="superscript"/>
        <sz val="11"/>
        <color theme="1"/>
        <rFont val="Calibri"/>
        <family val="2"/>
      </rPr>
      <t>(mp)</t>
    </r>
  </si>
  <si>
    <t>u</t>
  </si>
  <si>
    <r>
      <t>u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</si>
  <si>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t>u|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</si>
  <si>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t>A</t>
    </r>
    <r>
      <rPr>
        <b/>
        <vertAlign val="subscript"/>
        <sz val="11"/>
        <color theme="1"/>
        <rFont val="Calibri"/>
        <family val="2"/>
      </rPr>
      <t>[</t>
    </r>
    <r>
      <rPr>
        <b/>
        <vertAlign val="superscript"/>
        <sz val="11"/>
        <color theme="1"/>
        <rFont val="Calibri"/>
        <family val="2"/>
      </rPr>
      <t>1</t>
    </r>
    <r>
      <rPr>
        <b/>
        <vertAlign val="subscript"/>
        <sz val="11"/>
        <color theme="1"/>
        <rFont val="Calibri"/>
        <family val="2"/>
      </rPr>
      <t>x]:u</t>
    </r>
  </si>
  <si>
    <r>
      <t>A</t>
    </r>
    <r>
      <rPr>
        <b/>
        <vertAlign val="subscript"/>
        <sz val="11"/>
        <color theme="1"/>
        <rFont val="Calibri"/>
        <family val="2"/>
      </rPr>
      <t>[</t>
    </r>
    <r>
      <rPr>
        <b/>
        <vertAlign val="subscript"/>
        <sz val="11"/>
        <color theme="1"/>
        <rFont val="Calibri"/>
        <family val="2"/>
      </rPr>
      <t>x]:u</t>
    </r>
  </si>
  <si>
    <r>
      <t>u|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</t>
    </r>
    <r>
      <rPr>
        <b/>
        <vertAlign val="superscript"/>
        <sz val="11"/>
        <color theme="1"/>
        <rFont val="Calibri"/>
        <family val="2"/>
        <scheme val="minor"/>
      </rPr>
      <t>(mp)</t>
    </r>
  </si>
  <si>
    <r>
      <t>u|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</t>
    </r>
    <r>
      <rPr>
        <b/>
        <vertAlign val="superscript"/>
        <sz val="11"/>
        <color theme="1"/>
        <rFont val="Calibri"/>
        <family val="2"/>
        <scheme val="minor"/>
      </rPr>
      <t>(mb)</t>
    </r>
  </si>
  <si>
    <r>
      <t>A</t>
    </r>
    <r>
      <rPr>
        <b/>
        <vertAlign val="subscript"/>
        <sz val="11"/>
        <color theme="1"/>
        <rFont val="Calibri"/>
        <family val="2"/>
      </rPr>
      <t>[</t>
    </r>
    <r>
      <rPr>
        <b/>
        <vertAlign val="superscript"/>
        <sz val="11"/>
        <color theme="1"/>
        <rFont val="Calibri"/>
        <family val="2"/>
      </rPr>
      <t>1</t>
    </r>
    <r>
      <rPr>
        <b/>
        <vertAlign val="subscript"/>
        <sz val="11"/>
        <color theme="1"/>
        <rFont val="Calibri"/>
        <family val="2"/>
      </rPr>
      <t>x]:u</t>
    </r>
    <r>
      <rPr>
        <b/>
        <vertAlign val="superscript"/>
        <sz val="11"/>
        <color theme="1"/>
        <rFont val="Calibri"/>
        <family val="2"/>
      </rPr>
      <t>(mb)</t>
    </r>
  </si>
  <si>
    <r>
      <t>A</t>
    </r>
    <r>
      <rPr>
        <b/>
        <vertAlign val="subscript"/>
        <sz val="11"/>
        <color theme="1"/>
        <rFont val="Calibri"/>
        <family val="2"/>
      </rPr>
      <t>[x]:u</t>
    </r>
    <r>
      <rPr>
        <b/>
        <vertAlign val="superscript"/>
        <sz val="11"/>
        <color theme="1"/>
        <rFont val="Calibri"/>
        <family val="2"/>
      </rPr>
      <t>(mb)</t>
    </r>
  </si>
  <si>
    <t>n</t>
  </si>
  <si>
    <r>
      <t>u+n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</si>
  <si>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rPr>
        <b/>
        <vertAlign val="subscript"/>
        <sz val="11"/>
        <color theme="1"/>
        <rFont val="Calibri"/>
        <family val="2"/>
      </rPr>
      <t>u|</t>
    </r>
    <r>
      <rPr>
        <b/>
        <sz val="11"/>
        <color theme="1"/>
        <rFont val="Calibri"/>
        <family val="2"/>
      </rPr>
      <t>ä</t>
    </r>
    <r>
      <rPr>
        <b/>
        <vertAlign val="subscript"/>
        <sz val="11"/>
        <color theme="1"/>
        <rFont val="Calibri"/>
        <family val="2"/>
      </rPr>
      <t>[x+u+n]</t>
    </r>
    <r>
      <rPr>
        <b/>
        <vertAlign val="superscript"/>
        <sz val="11"/>
        <color theme="1"/>
        <rFont val="Calibri"/>
        <family val="2"/>
      </rPr>
      <t>(mb)</t>
    </r>
  </si>
  <si>
    <r>
      <t>A</t>
    </r>
    <r>
      <rPr>
        <b/>
        <vertAlign val="subscript"/>
        <sz val="11"/>
        <color theme="1"/>
        <rFont val="Calibri"/>
        <family val="2"/>
      </rPr>
      <t>x+u+n</t>
    </r>
    <r>
      <rPr>
        <b/>
        <vertAlign val="superscript"/>
        <sz val="11"/>
        <color theme="1"/>
        <rFont val="Calibri"/>
        <family val="2"/>
      </rPr>
      <t>(mb)</t>
    </r>
  </si>
  <si>
    <t>π</t>
  </si>
  <si>
    <t>S</t>
  </si>
  <si>
    <r>
      <t>ä</t>
    </r>
    <r>
      <rPr>
        <b/>
        <vertAlign val="subscript"/>
        <sz val="11"/>
        <color theme="1"/>
        <rFont val="Calibri"/>
        <family val="2"/>
      </rPr>
      <t>x+u+n</t>
    </r>
    <r>
      <rPr>
        <b/>
        <vertAlign val="superscript"/>
        <sz val="11"/>
        <color theme="1"/>
        <rFont val="Calibri"/>
        <family val="2"/>
      </rPr>
      <t>(mb)</t>
    </r>
  </si>
  <si>
    <t>N</t>
  </si>
  <si>
    <r>
      <t>N</t>
    </r>
    <r>
      <rPr>
        <b/>
        <sz val="11"/>
        <color theme="1"/>
        <rFont val="Calibri"/>
        <family val="2"/>
      </rPr>
      <t>π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</si>
  <si>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x+u+n</t>
    </r>
    <r>
      <rPr>
        <b/>
        <vertAlign val="superscript"/>
        <sz val="11"/>
        <color theme="1"/>
        <rFont val="Calibri"/>
        <family val="2"/>
        <scheme val="minor"/>
      </rPr>
      <t>(mb)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</si>
  <si>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x+u+n</t>
    </r>
    <r>
      <rPr>
        <b/>
        <vertAlign val="superscript"/>
        <sz val="11"/>
        <color theme="1"/>
        <rFont val="Calibri"/>
        <family val="2"/>
        <scheme val="minor"/>
      </rPr>
      <t>(mb)</t>
    </r>
  </si>
  <si>
    <r>
      <t>ä</t>
    </r>
    <r>
      <rPr>
        <b/>
        <vertAlign val="subscript"/>
        <sz val="11"/>
        <color theme="1"/>
        <rFont val="Calibri"/>
        <family val="2"/>
        <scheme val="minor"/>
      </rPr>
      <t>x+u+n</t>
    </r>
    <r>
      <rPr>
        <b/>
        <vertAlign val="superscript"/>
        <sz val="11"/>
        <color theme="1"/>
        <rFont val="Calibri"/>
        <family val="2"/>
        <scheme val="minor"/>
      </rPr>
      <t>(mb)</t>
    </r>
  </si>
  <si>
    <t>V(Y)</t>
  </si>
  <si>
    <r>
      <t>ä</t>
    </r>
    <r>
      <rPr>
        <b/>
        <vertAlign val="subscript"/>
        <sz val="11"/>
        <color theme="1"/>
        <rFont val="Calibri"/>
        <family val="2"/>
        <scheme val="minor"/>
      </rPr>
      <t>x+u:n</t>
    </r>
    <r>
      <rPr>
        <b/>
        <vertAlign val="superscript"/>
        <sz val="11"/>
        <color theme="1"/>
        <rFont val="Calibri"/>
        <family val="2"/>
        <scheme val="minor"/>
      </rPr>
      <t>(mb)</t>
    </r>
  </si>
  <si>
    <r>
      <rPr>
        <b/>
        <vertAlign val="subscript"/>
        <sz val="11"/>
        <color theme="1"/>
        <rFont val="Calibri"/>
        <family val="2"/>
        <scheme val="minor"/>
      </rPr>
      <t>u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</si>
  <si>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t>E(V(Y|I))</t>
  </si>
  <si>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>x+u</t>
    </r>
  </si>
  <si>
    <r>
      <t>v</t>
    </r>
    <r>
      <rPr>
        <b/>
        <vertAlign val="superscript"/>
        <sz val="11"/>
        <color theme="1"/>
        <rFont val="Calibri"/>
        <family val="2"/>
        <scheme val="minor"/>
      </rPr>
      <t>u+n</t>
    </r>
  </si>
  <si>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q</t>
    </r>
    <r>
      <rPr>
        <b/>
        <vertAlign val="subscript"/>
        <sz val="11"/>
        <color theme="1"/>
        <rFont val="Calibri"/>
        <family val="2"/>
        <scheme val="minor"/>
      </rPr>
      <t>x+u</t>
    </r>
  </si>
  <si>
    <t>V(E(Y|I))</t>
  </si>
  <si>
    <t>V(Z)</t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</si>
  <si>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vertAlign val="subscript"/>
        <sz val="11"/>
        <color theme="1"/>
        <rFont val="Calibri"/>
        <family val="2"/>
        <scheme val="minor"/>
      </rPr>
      <t>x]:u</t>
    </r>
    <r>
      <rPr>
        <b/>
        <vertAlign val="superscript"/>
        <sz val="11"/>
        <color theme="1"/>
        <rFont val="Calibri"/>
        <family val="2"/>
        <scheme val="minor"/>
      </rPr>
      <t>(mp)</t>
    </r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</si>
  <si>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[x]:u</t>
    </r>
    <r>
      <rPr>
        <b/>
        <vertAlign val="superscript"/>
        <sz val="11"/>
        <color theme="1"/>
        <rFont val="Calibri"/>
        <family val="2"/>
        <scheme val="minor"/>
      </rPr>
      <t>(mp)</t>
    </r>
  </si>
  <si>
    <r>
      <t>2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</t>
    </r>
    <r>
      <rPr>
        <b/>
        <vertAlign val="superscript"/>
        <sz val="11"/>
        <color theme="1"/>
        <rFont val="Calibri"/>
        <family val="2"/>
        <scheme val="minor"/>
      </rPr>
      <t>(mp)</t>
    </r>
  </si>
  <si>
    <r>
      <t>2</t>
    </r>
    <r>
      <rPr>
        <b/>
        <vertAlign val="subscript"/>
        <sz val="11"/>
        <color theme="1"/>
        <rFont val="Calibri"/>
        <family val="2"/>
        <scheme val="minor"/>
      </rPr>
      <t>u|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[x]</t>
    </r>
    <r>
      <rPr>
        <b/>
        <vertAlign val="superscript"/>
        <sz val="11"/>
        <color theme="1"/>
        <rFont val="Calibri"/>
        <family val="2"/>
        <scheme val="minor"/>
      </rPr>
      <t>(mp)</t>
    </r>
  </si>
  <si>
    <r>
      <t>2</t>
    </r>
    <r>
      <rPr>
        <b/>
        <vertAlign val="subscript"/>
        <sz val="11"/>
        <color theme="1"/>
        <rFont val="Calibri"/>
        <family val="2"/>
        <scheme val="minor"/>
      </rPr>
      <t>u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[x]</t>
    </r>
  </si>
  <si>
    <r>
      <t>d</t>
    </r>
    <r>
      <rPr>
        <b/>
        <vertAlign val="superscript"/>
        <sz val="11"/>
        <color theme="1"/>
        <rFont val="Calibri"/>
        <family val="2"/>
        <scheme val="minor"/>
      </rPr>
      <t>(mb)</t>
    </r>
  </si>
  <si>
    <t>Cov(Y,Z)</t>
  </si>
  <si>
    <r>
      <rPr>
        <b/>
        <sz val="11"/>
        <color theme="1"/>
        <rFont val="Calibri"/>
        <family val="2"/>
        <scheme val="minor"/>
      </rPr>
      <t>d</t>
    </r>
    <r>
      <rPr>
        <b/>
        <vertAlign val="superscript"/>
        <sz val="11"/>
        <color theme="1"/>
        <rFont val="Calibri"/>
        <family val="2"/>
        <scheme val="minor"/>
      </rPr>
      <t>(mp)</t>
    </r>
  </si>
  <si>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x+u</t>
    </r>
  </si>
  <si>
    <t>V(Lo(π))</t>
  </si>
  <si>
    <t>SD(Lo(π))</t>
  </si>
  <si>
    <t>V(N Lo(π))</t>
  </si>
  <si>
    <t>SD(N Lo(π))</t>
  </si>
  <si>
    <t>M</t>
  </si>
  <si>
    <t>E(Y)</t>
  </si>
  <si>
    <t>E(Z)</t>
  </si>
  <si>
    <t>E(Lo(π))</t>
  </si>
  <si>
    <t>E(Portfolio)</t>
  </si>
  <si>
    <t>SD(Portfolio)</t>
  </si>
  <si>
    <t>N E(Lo(π))</t>
  </si>
  <si>
    <t>P(Loss)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</si>
</sst>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"/>
    <numFmt numFmtId="165" formatCode="0.0000000"/>
    <numFmt numFmtId="166" formatCode="0.000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sz val="8"/>
      <color rgb="FF00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11" fontId="0" fillId="0" borderId="0" xfId="0" applyNumberFormat="1"/>
    <xf numFmtId="0" fontId="0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NumberFormat="1"/>
    <xf numFmtId="43" fontId="0" fillId="0" borderId="0" xfId="1" applyFont="1"/>
    <xf numFmtId="2" fontId="0" fillId="0" borderId="0" xfId="0" applyNumberFormat="1"/>
    <xf numFmtId="0" fontId="2" fillId="2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5" fillId="6" borderId="0" xfId="0" applyFont="1" applyFill="1"/>
    <xf numFmtId="0" fontId="2" fillId="7" borderId="0" xfId="0" applyFont="1" applyFill="1"/>
    <xf numFmtId="0" fontId="5" fillId="7" borderId="0" xfId="0" applyFont="1" applyFill="1"/>
    <xf numFmtId="0" fontId="3" fillId="7" borderId="0" xfId="0" applyFont="1" applyFill="1"/>
    <xf numFmtId="0" fontId="2" fillId="8" borderId="0" xfId="0" applyFont="1" applyFill="1"/>
    <xf numFmtId="0" fontId="5" fillId="8" borderId="0" xfId="0" applyFont="1" applyFill="1"/>
    <xf numFmtId="43" fontId="0" fillId="0" borderId="0" xfId="0" applyNumberFormat="1"/>
    <xf numFmtId="43" fontId="0" fillId="0" borderId="0" xfId="0" applyNumberFormat="1" applyFill="1"/>
    <xf numFmtId="166" fontId="0" fillId="0" borderId="0" xfId="0" applyNumberFormat="1" applyFill="1"/>
    <xf numFmtId="164" fontId="0" fillId="0" borderId="0" xfId="0" applyNumberFormat="1" applyFill="1"/>
    <xf numFmtId="0" fontId="2" fillId="9" borderId="0" xfId="0" applyFont="1" applyFill="1"/>
    <xf numFmtId="0" fontId="4" fillId="9" borderId="0" xfId="0" applyFont="1" applyFill="1"/>
    <xf numFmtId="0" fontId="2" fillId="3" borderId="0" xfId="0" applyFont="1" applyFill="1" applyAlignment="1">
      <alignment horizontal="center"/>
    </xf>
    <xf numFmtId="0" fontId="2" fillId="10" borderId="0" xfId="0" applyFont="1" applyFill="1"/>
    <xf numFmtId="0" fontId="5" fillId="10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854418197725284"/>
          <c:y val="0.1901738845144357"/>
          <c:w val="0.77237248468941377"/>
          <c:h val="0.68921660834062404"/>
        </c:manualLayout>
      </c:layout>
      <c:scatterChart>
        <c:scatterStyle val="smoothMarker"/>
        <c:varyColors val="0"/>
        <c:ser>
          <c:idx val="0"/>
          <c:order val="0"/>
          <c:tx>
            <c:v>Premium vs Age</c:v>
          </c:tx>
          <c:marker>
            <c:symbol val="none"/>
          </c:marker>
          <c:xVal>
            <c:numRef>
              <c:f>PremiumTable!$AZ$2:$AZ$42</c:f>
              <c:numCache>
                <c:formatCode>General</c:formatCode>
                <c:ptCount val="4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</c:numCache>
            </c:numRef>
          </c:xVal>
          <c:yVal>
            <c:numRef>
              <c:f>PremiumTable!$BC$2:$BC$42</c:f>
              <c:numCache>
                <c:formatCode>_(* #,##0.00_);_(* \(#,##0.00\);_(* "-"??_);_(@_)</c:formatCode>
                <c:ptCount val="41"/>
                <c:pt idx="0">
                  <c:v>3293.1814600998746</c:v>
                </c:pt>
                <c:pt idx="1">
                  <c:v>3482.7676194579794</c:v>
                </c:pt>
                <c:pt idx="2">
                  <c:v>3684.7109372198838</c:v>
                </c:pt>
                <c:pt idx="3">
                  <c:v>3899.9867362114542</c:v>
                </c:pt>
                <c:pt idx="4">
                  <c:v>4129.6677982731917</c:v>
                </c:pt>
                <c:pt idx="5">
                  <c:v>4374.9366652588742</c:v>
                </c:pt>
                <c:pt idx="6">
                  <c:v>4637.0998448963164</c:v>
                </c:pt>
                <c:pt idx="7">
                  <c:v>4917.6042736008822</c:v>
                </c:pt>
                <c:pt idx="8">
                  <c:v>5218.0564645551212</c:v>
                </c:pt>
                <c:pt idx="9">
                  <c:v>5540.2448646529483</c:v>
                </c:pt>
                <c:pt idx="10">
                  <c:v>5886.1660637013292</c:v>
                </c:pt>
                <c:pt idx="11">
                  <c:v>6258.0556507853144</c:v>
                </c:pt>
                <c:pt idx="12">
                  <c:v>6658.4247055461019</c:v>
                </c:pt>
                <c:pt idx="13">
                  <c:v>7090.103159213214</c:v>
                </c:pt>
                <c:pt idx="14">
                  <c:v>7556.2915790709294</c:v>
                </c:pt>
                <c:pt idx="15">
                  <c:v>8060.6233445434018</c:v>
                </c:pt>
                <c:pt idx="16">
                  <c:v>8607.2397262415107</c:v>
                </c:pt>
                <c:pt idx="17">
                  <c:v>9200.8810970788254</c:v>
                </c:pt>
                <c:pt idx="18">
                  <c:v>9846.9984616051424</c:v>
                </c:pt>
                <c:pt idx="19">
                  <c:v>10551.890778060293</c:v>
                </c:pt>
                <c:pt idx="20">
                  <c:v>11322.875299849997</c:v>
                </c:pt>
                <c:pt idx="21">
                  <c:v>12168.500572472358</c:v>
                </c:pt>
                <c:pt idx="22">
                  <c:v>13098.815074105292</c:v>
                </c:pt>
                <c:pt idx="23">
                  <c:v>14125.709211705711</c:v>
                </c:pt>
                <c:pt idx="24">
                  <c:v>15263.355132700824</c:v>
                </c:pt>
                <c:pt idx="25">
                  <c:v>16528.778597557</c:v>
                </c:pt>
                <c:pt idx="26">
                  <c:v>17942.61157925742</c:v>
                </c:pt>
                <c:pt idx="27">
                  <c:v>19530.095887580315</c:v>
                </c:pt>
                <c:pt idx="28">
                  <c:v>21322.441201363235</c:v>
                </c:pt>
                <c:pt idx="29">
                  <c:v>23358.692589948441</c:v>
                </c:pt>
                <c:pt idx="30">
                  <c:v>25688.345325865543</c:v>
                </c:pt>
                <c:pt idx="31">
                  <c:v>28375.080696906331</c:v>
                </c:pt>
                <c:pt idx="32">
                  <c:v>31502.226535220485</c:v>
                </c:pt>
                <c:pt idx="33">
                  <c:v>35180.948726783245</c:v>
                </c:pt>
                <c:pt idx="34">
                  <c:v>39562.911927010187</c:v>
                </c:pt>
                <c:pt idx="35">
                  <c:v>44860.538572015008</c:v>
                </c:pt>
                <c:pt idx="36">
                  <c:v>51380.777320440815</c:v>
                </c:pt>
                <c:pt idx="37">
                  <c:v>59584.204714047984</c:v>
                </c:pt>
                <c:pt idx="38">
                  <c:v>70194.80072337095</c:v>
                </c:pt>
                <c:pt idx="39">
                  <c:v>84419.538021716522</c:v>
                </c:pt>
                <c:pt idx="40">
                  <c:v>104431.587675367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3488"/>
        <c:axId val="54557440"/>
      </c:scatterChart>
      <c:valAx>
        <c:axId val="12622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557440"/>
        <c:crosses val="autoZero"/>
        <c:crossBetween val="midCat"/>
      </c:valAx>
      <c:valAx>
        <c:axId val="5455744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26223488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SD</a:t>
            </a:r>
            <a:r>
              <a:rPr lang="en-US" baseline="0"/>
              <a:t> vs Age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854418197725284"/>
          <c:y val="0.1901738845144357"/>
          <c:w val="0.77237248468941377"/>
          <c:h val="0.68921660834062404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PremiumTable!$AZ$2:$AZ$42</c:f>
              <c:numCache>
                <c:formatCode>General</c:formatCode>
                <c:ptCount val="4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</c:numCache>
            </c:numRef>
          </c:xVal>
          <c:yVal>
            <c:numRef>
              <c:f>PremiumTable!$CO$2:$CO$42</c:f>
              <c:numCache>
                <c:formatCode>General</c:formatCode>
                <c:ptCount val="41"/>
                <c:pt idx="0">
                  <c:v>25657.367390339939</c:v>
                </c:pt>
                <c:pt idx="1">
                  <c:v>26859.086770611018</c:v>
                </c:pt>
                <c:pt idx="2">
                  <c:v>28113.693735652829</c:v>
                </c:pt>
                <c:pt idx="3">
                  <c:v>29423.188095886271</c:v>
                </c:pt>
                <c:pt idx="4">
                  <c:v>30789.612120871472</c:v>
                </c:pt>
                <c:pt idx="5">
                  <c:v>32215.04753974569</c:v>
                </c:pt>
                <c:pt idx="6">
                  <c:v>33701.61192644744</c:v>
                </c:pt>
                <c:pt idx="7">
                  <c:v>35251.454393234242</c:v>
                </c:pt>
                <c:pt idx="8">
                  <c:v>36866.750506819095</c:v>
                </c:pt>
                <c:pt idx="9">
                  <c:v>38549.696330987841</c:v>
                </c:pt>
                <c:pt idx="10">
                  <c:v>40302.501487622576</c:v>
                </c:pt>
                <c:pt idx="11">
                  <c:v>42127.381114369804</c:v>
                </c:pt>
                <c:pt idx="12">
                  <c:v>44026.546581446361</c:v>
                </c:pt>
                <c:pt idx="13">
                  <c:v>46002.194811890702</c:v>
                </c:pt>
                <c:pt idx="14">
                  <c:v>48056.496028469162</c:v>
                </c:pt>
                <c:pt idx="15">
                  <c:v>50191.579725865966</c:v>
                </c:pt>
                <c:pt idx="16">
                  <c:v>52409.518638018992</c:v>
                </c:pt>
                <c:pt idx="17">
                  <c:v>54712.310436634121</c:v>
                </c:pt>
                <c:pt idx="18">
                  <c:v>57101.856856927989</c:v>
                </c:pt>
                <c:pt idx="19">
                  <c:v>59579.939899160468</c:v>
                </c:pt>
                <c:pt idx="20">
                  <c:v>62148.194697792336</c:v>
                </c:pt>
                <c:pt idx="21">
                  <c:v>64808.078581966081</c:v>
                </c:pt>
                <c:pt idx="22">
                  <c:v>67560.835768645324</c:v>
                </c:pt>
                <c:pt idx="23">
                  <c:v>70407.45702951368</c:v>
                </c:pt>
                <c:pt idx="24">
                  <c:v>73348.633549842983</c:v>
                </c:pt>
                <c:pt idx="25">
                  <c:v>76384.704045567603</c:v>
                </c:pt>
                <c:pt idx="26">
                  <c:v>79515.594014936403</c:v>
                </c:pt>
                <c:pt idx="27">
                  <c:v>82740.74576111151</c:v>
                </c:pt>
                <c:pt idx="28">
                  <c:v>86059.037514000549</c:v>
                </c:pt>
                <c:pt idx="29">
                  <c:v>89468.689576682693</c:v>
                </c:pt>
                <c:pt idx="30">
                  <c:v>92967.154881513445</c:v>
                </c:pt>
                <c:pt idx="31">
                  <c:v>96550.990592863483</c:v>
                </c:pt>
                <c:pt idx="32">
                  <c:v>100215.70631242747</c:v>
                </c:pt>
                <c:pt idx="33">
                  <c:v>103955.58279304659</c:v>
                </c:pt>
                <c:pt idx="34">
                  <c:v>107763.45236879798</c:v>
                </c:pt>
                <c:pt idx="35">
                  <c:v>111630.42751571599</c:v>
                </c:pt>
                <c:pt idx="36">
                  <c:v>115545.55459212794</c:v>
                </c:pt>
                <c:pt idx="37">
                  <c:v>119495.3494853334</c:v>
                </c:pt>
                <c:pt idx="38">
                  <c:v>123463.12247503857</c:v>
                </c:pt>
                <c:pt idx="39">
                  <c:v>127427.86338061668</c:v>
                </c:pt>
                <c:pt idx="40">
                  <c:v>131362.02358908541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27936"/>
        <c:axId val="144193152"/>
      </c:scatterChart>
      <c:valAx>
        <c:axId val="14372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193152"/>
        <c:crosses val="autoZero"/>
        <c:crossBetween val="midCat"/>
      </c:valAx>
      <c:valAx>
        <c:axId val="14419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727936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11</xdr:row>
          <xdr:rowOff>66674</xdr:rowOff>
        </xdr:from>
        <xdr:to>
          <xdr:col>1</xdr:col>
          <xdr:colOff>438150</xdr:colOff>
          <xdr:row>12</xdr:row>
          <xdr:rowOff>57149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Life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14</xdr:row>
          <xdr:rowOff>142875</xdr:rowOff>
        </xdr:from>
        <xdr:to>
          <xdr:col>1</xdr:col>
          <xdr:colOff>419100</xdr:colOff>
          <xdr:row>15</xdr:row>
          <xdr:rowOff>123825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Mortality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12</xdr:row>
          <xdr:rowOff>104775</xdr:rowOff>
        </xdr:from>
        <xdr:to>
          <xdr:col>1</xdr:col>
          <xdr:colOff>438150</xdr:colOff>
          <xdr:row>13</xdr:row>
          <xdr:rowOff>66675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Insurance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13</xdr:row>
          <xdr:rowOff>123825</xdr:rowOff>
        </xdr:from>
        <xdr:to>
          <xdr:col>1</xdr:col>
          <xdr:colOff>523875</xdr:colOff>
          <xdr:row>14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Annuity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15</xdr:row>
          <xdr:rowOff>171451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Retirement Annuities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17</xdr:row>
          <xdr:rowOff>9525</xdr:rowOff>
        </xdr:from>
        <xdr:to>
          <xdr:col>1</xdr:col>
          <xdr:colOff>647700</xdr:colOff>
          <xdr:row>18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Premium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18</xdr:row>
          <xdr:rowOff>66675</xdr:rowOff>
        </xdr:from>
        <xdr:to>
          <xdr:col>1</xdr:col>
          <xdr:colOff>676275</xdr:colOff>
          <xdr:row>19</xdr:row>
          <xdr:rowOff>95250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Variance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19</xdr:row>
          <xdr:rowOff>85725</xdr:rowOff>
        </xdr:from>
        <xdr:to>
          <xdr:col>1</xdr:col>
          <xdr:colOff>590550</xdr:colOff>
          <xdr:row>20</xdr:row>
          <xdr:rowOff>114300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Portfolio Table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152400</xdr:rowOff>
    </xdr:from>
    <xdr:to>
      <xdr:col>8</xdr:col>
      <xdr:colOff>28575</xdr:colOff>
      <xdr:row>15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571500</xdr:colOff>
      <xdr:row>0</xdr:row>
      <xdr:rowOff>161925</xdr:rowOff>
    </xdr:from>
    <xdr:to>
      <xdr:col>16</xdr:col>
      <xdr:colOff>266700</xdr:colOff>
      <xdr:row>15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Q102"/>
  <sheetViews>
    <sheetView tabSelected="1" zoomScaleNormal="100" workbookViewId="0">
      <selection activeCell="B22" sqref="B22"/>
    </sheetView>
  </sheetViews>
  <sheetFormatPr defaultRowHeight="15" x14ac:dyDescent="0.25"/>
  <cols>
    <col min="1" max="1" width="11.5703125" bestFit="1" customWidth="1"/>
    <col min="2" max="2" width="15.7109375" customWidth="1"/>
    <col min="3" max="4" width="9.140625" hidden="1" customWidth="1"/>
    <col min="5" max="5" width="10.5703125" hidden="1" customWidth="1"/>
    <col min="6" max="6" width="11.5703125" hidden="1" customWidth="1"/>
    <col min="7" max="7" width="10.5703125" hidden="1" customWidth="1"/>
    <col min="8" max="9" width="9.140625" hidden="1" customWidth="1"/>
    <col min="10" max="12" width="13.7109375" hidden="1" customWidth="1"/>
    <col min="13" max="26" width="9.140625" hidden="1" customWidth="1"/>
    <col min="27" max="27" width="10.28515625" hidden="1" customWidth="1"/>
    <col min="28" max="34" width="9.140625" hidden="1" customWidth="1"/>
    <col min="35" max="38" width="11.5703125" hidden="1" customWidth="1"/>
    <col min="39" max="44" width="10.5703125" hidden="1" customWidth="1"/>
    <col min="45" max="45" width="9.5703125" hidden="1" customWidth="1"/>
    <col min="46" max="46" width="7.140625" hidden="1" customWidth="1"/>
    <col min="47" max="49" width="9.140625" hidden="1" customWidth="1"/>
    <col min="50" max="50" width="10.5703125" hidden="1" customWidth="1"/>
    <col min="51" max="53" width="9.140625" hidden="1" customWidth="1"/>
    <col min="54" max="54" width="10.5703125" hidden="1" customWidth="1"/>
    <col min="55" max="55" width="11.5703125" hidden="1" customWidth="1"/>
    <col min="56" max="56" width="14.140625" hidden="1" customWidth="1"/>
    <col min="57" max="61" width="9.140625" hidden="1" customWidth="1"/>
    <col min="62" max="62" width="12" hidden="1" customWidth="1"/>
    <col min="63" max="76" width="9.140625" hidden="1" customWidth="1"/>
    <col min="77" max="78" width="12" hidden="1" customWidth="1"/>
    <col min="79" max="79" width="1.28515625" hidden="1" customWidth="1"/>
    <col min="80" max="80" width="9.140625" hidden="1" customWidth="1"/>
    <col min="81" max="81" width="11.5703125" hidden="1" customWidth="1"/>
    <col min="82" max="84" width="9.140625" customWidth="1"/>
    <col min="85" max="85" width="10.5703125" customWidth="1"/>
    <col min="86" max="86" width="11.5703125" customWidth="1"/>
    <col min="87" max="89" width="14.28515625" customWidth="1"/>
    <col min="90" max="91" width="15.28515625" customWidth="1"/>
    <col min="92" max="92" width="18" customWidth="1"/>
    <col min="93" max="93" width="9.140625" customWidth="1"/>
    <col min="94" max="94" width="20.5703125" customWidth="1"/>
    <col min="95" max="95" width="11.28515625" customWidth="1"/>
  </cols>
  <sheetData>
    <row r="1" spans="1:95" ht="18.75" x14ac:dyDescent="0.35">
      <c r="A1" s="26" t="s">
        <v>0</v>
      </c>
      <c r="B1" s="26"/>
      <c r="D1" s="10" t="s">
        <v>4</v>
      </c>
      <c r="E1" s="10" t="s">
        <v>5</v>
      </c>
      <c r="F1" s="10" t="s">
        <v>6</v>
      </c>
      <c r="G1" s="10" t="s">
        <v>7</v>
      </c>
      <c r="H1" s="1"/>
      <c r="I1" s="11" t="s">
        <v>4</v>
      </c>
      <c r="J1" s="11" t="s">
        <v>12</v>
      </c>
      <c r="K1" s="11" t="s">
        <v>8</v>
      </c>
      <c r="L1" s="11" t="s">
        <v>9</v>
      </c>
      <c r="M1" s="11" t="s">
        <v>10</v>
      </c>
      <c r="O1" s="12" t="s">
        <v>4</v>
      </c>
      <c r="P1" s="12" t="s">
        <v>14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19</v>
      </c>
      <c r="W1" s="13" t="s">
        <v>4</v>
      </c>
      <c r="X1" s="14" t="s">
        <v>20</v>
      </c>
      <c r="Y1" s="14" t="s">
        <v>21</v>
      </c>
      <c r="Z1" s="13" t="s">
        <v>22</v>
      </c>
      <c r="AA1" s="13" t="s">
        <v>25</v>
      </c>
      <c r="AB1" s="13" t="s">
        <v>23</v>
      </c>
      <c r="AC1" s="13" t="s">
        <v>26</v>
      </c>
      <c r="AD1" s="13" t="s">
        <v>24</v>
      </c>
      <c r="AE1" s="13" t="s">
        <v>27</v>
      </c>
      <c r="AG1" s="15" t="s">
        <v>4</v>
      </c>
      <c r="AH1" s="15" t="s">
        <v>34</v>
      </c>
      <c r="AI1" s="17" t="s">
        <v>35</v>
      </c>
      <c r="AJ1" s="17" t="s">
        <v>36</v>
      </c>
      <c r="AK1" s="17" t="s">
        <v>39</v>
      </c>
      <c r="AL1" s="17" t="s">
        <v>40</v>
      </c>
      <c r="AM1" s="16" t="s">
        <v>37</v>
      </c>
      <c r="AN1" s="16" t="s">
        <v>33</v>
      </c>
      <c r="AO1" s="16" t="s">
        <v>41</v>
      </c>
      <c r="AP1" s="16" t="s">
        <v>38</v>
      </c>
      <c r="AQ1" s="16" t="s">
        <v>32</v>
      </c>
      <c r="AR1" s="16" t="s">
        <v>42</v>
      </c>
      <c r="AS1" s="16" t="s">
        <v>31</v>
      </c>
      <c r="AT1" s="16" t="s">
        <v>43</v>
      </c>
      <c r="AU1" s="17" t="s">
        <v>44</v>
      </c>
      <c r="AV1" s="16" t="s">
        <v>46</v>
      </c>
      <c r="AW1" s="16" t="s">
        <v>49</v>
      </c>
      <c r="AX1" s="16" t="s">
        <v>45</v>
      </c>
      <c r="AZ1" s="18" t="s">
        <v>4</v>
      </c>
      <c r="BA1" s="18" t="s">
        <v>50</v>
      </c>
      <c r="BB1" s="19" t="s">
        <v>48</v>
      </c>
      <c r="BC1" s="19" t="s">
        <v>47</v>
      </c>
      <c r="BD1" s="18" t="s">
        <v>51</v>
      </c>
      <c r="BE1" s="1"/>
      <c r="BF1" s="24" t="s">
        <v>4</v>
      </c>
      <c r="BG1" s="24" t="s">
        <v>34</v>
      </c>
      <c r="BH1" s="24" t="s">
        <v>43</v>
      </c>
      <c r="BI1" s="25" t="s">
        <v>68</v>
      </c>
      <c r="BJ1" s="25" t="s">
        <v>66</v>
      </c>
      <c r="BK1" s="25" t="s">
        <v>67</v>
      </c>
      <c r="BL1" s="24" t="s">
        <v>64</v>
      </c>
      <c r="BM1" s="24" t="s">
        <v>65</v>
      </c>
      <c r="BN1" s="24" t="s">
        <v>52</v>
      </c>
      <c r="BO1" s="24" t="s">
        <v>53</v>
      </c>
      <c r="BP1" s="24" t="s">
        <v>54</v>
      </c>
      <c r="BQ1" s="24" t="s">
        <v>56</v>
      </c>
      <c r="BR1" s="24" t="s">
        <v>59</v>
      </c>
      <c r="BS1" s="24" t="s">
        <v>61</v>
      </c>
      <c r="BT1" s="24" t="s">
        <v>69</v>
      </c>
      <c r="BU1" s="24" t="s">
        <v>71</v>
      </c>
      <c r="BV1" s="24" t="s">
        <v>60</v>
      </c>
      <c r="BW1" s="24" t="s">
        <v>57</v>
      </c>
      <c r="BX1" s="24" t="s">
        <v>58</v>
      </c>
      <c r="BY1" s="24" t="s">
        <v>62</v>
      </c>
      <c r="BZ1" s="24" t="s">
        <v>55</v>
      </c>
      <c r="CA1" s="24" t="s">
        <v>63</v>
      </c>
      <c r="CB1" s="24" t="s">
        <v>72</v>
      </c>
      <c r="CC1" s="24" t="s">
        <v>70</v>
      </c>
      <c r="CE1" s="27" t="s">
        <v>4</v>
      </c>
      <c r="CF1" s="27" t="s">
        <v>50</v>
      </c>
      <c r="CG1" s="27" t="s">
        <v>48</v>
      </c>
      <c r="CH1" s="28" t="s">
        <v>47</v>
      </c>
      <c r="CI1" s="27" t="s">
        <v>51</v>
      </c>
      <c r="CJ1" s="27" t="s">
        <v>78</v>
      </c>
      <c r="CK1" s="27" t="s">
        <v>79</v>
      </c>
      <c r="CL1" s="27" t="s">
        <v>80</v>
      </c>
      <c r="CM1" s="27" t="s">
        <v>83</v>
      </c>
      <c r="CN1" s="27" t="s">
        <v>73</v>
      </c>
      <c r="CO1" s="27" t="s">
        <v>74</v>
      </c>
      <c r="CP1" s="27" t="s">
        <v>75</v>
      </c>
      <c r="CQ1" s="27" t="s">
        <v>76</v>
      </c>
    </row>
    <row r="2" spans="1:95" x14ac:dyDescent="0.25">
      <c r="A2" s="1" t="s">
        <v>1</v>
      </c>
      <c r="B2" s="7">
        <v>2.2000000000000001E-4</v>
      </c>
      <c r="D2">
        <v>20</v>
      </c>
      <c r="E2" s="6">
        <f>1 - EXP(-(($B$2 * 1) + ($B$3/ LN($B$4)) * ($B$4 ^ D2) * ($B$4 ^ 1 - 1)))</f>
        <v>3.9638472952396864E-4</v>
      </c>
      <c r="F2" s="6">
        <f>1-EXP(0.9^(2-1)* (($B$2*(1 - 0.9^1)/LN(0.9)) + ($B$3*$B$4^D2*($B$4^1 - 0.9^1)/LN(0.9/$B$4))))</f>
        <v>3.3873163855413502E-4</v>
      </c>
      <c r="G2" s="5">
        <f>1-EXP(0.9^(1-1)*( ($B$2/LN(0.9)*(1-0.9^1)) + ($B$3*$B$4^(D2+1)/LN(0.9/$B$4)*($B$4^1 - 0.9^1))))</f>
        <v>3.9311749178538857E-4</v>
      </c>
      <c r="J2" s="9"/>
      <c r="K2" s="9"/>
      <c r="L2" s="9">
        <f>$B$5</f>
        <v>100000</v>
      </c>
      <c r="M2">
        <v>20</v>
      </c>
      <c r="O2">
        <v>20</v>
      </c>
      <c r="P2">
        <f t="shared" ref="P2:P65" si="0">P3*(1-VLOOKUP(O2,$D$2:$G$102,2))*(1+$B$6)^(-1) + (1+$B$6)^(-1)*VLOOKUP(O2,$D$2:$G$102,2)</f>
        <v>6.8979538046819514E-2</v>
      </c>
      <c r="Q2">
        <f t="shared" ref="Q2:Q65" si="1">Q3*(1-VLOOKUP(O2,$D$2:$G$102,2))*(1+$B$6)^(-2) + (1+$B$6)^(-2)*VLOOKUP(O2,$D$2:$G$102,2)</f>
        <v>1.1101798950382097E-2</v>
      </c>
      <c r="R2">
        <f t="shared" ref="R2:R65" si="2">(1+$B$6)^(-1)*VLOOKUP(O2,$D$2:$G$102,3) + (1+$B$6)^(-2)*VLOOKUP(O2,$D$2:$G$102,4)*(1-VLOOKUP(O2,$D$2:$G$102,3)) + (1+$B$6)^(-2)*(1-VLOOKUP(O2,$D$2:$G$102,3))*(1-VLOOKUP(O2,$D$2:$G$102,4))*P4</f>
        <v>6.8911057761879613E-2</v>
      </c>
      <c r="S2" s="3">
        <f t="shared" ref="S2:S65" si="3">(1+$B$6)^(-2)*VLOOKUP(O2,$D$2:$G$102,3) + (1+$B$6)^(-4)*VLOOKUP(O2,$D$2:$G$102,4)*(1-VLOOKUP(O2,$D$2:$G$102,3)) + (1+$B$6)^(-4)*(1-VLOOKUP(O2,$D$2:$G$102,3))*(1-VLOOKUP(O2,$D$2:$G$102,4))*Q4</f>
        <v>1.10331490983522E-2</v>
      </c>
      <c r="T2">
        <f t="shared" ref="T2:T65" si="4">(1+$B$6)^(-1)*VLOOKUP(O2,$D$2:$G$102,4) + (1+$B$6)^(-1)*(1-VLOOKUP(O2,$D$2:$G$102,4))*P4</f>
        <v>7.2042282011650444E-2</v>
      </c>
      <c r="U2">
        <f t="shared" ref="U2:U65" si="5">(1+$B$6)^(-2)*VLOOKUP(O2,$D$2:$G$102,4) + (1+$B$6)^(-2)*(1-VLOOKUP(O2,$D$2:$G$102,4))*Q4</f>
        <v>1.1829322208073692E-2</v>
      </c>
      <c r="W2">
        <v>20</v>
      </c>
      <c r="X2" s="4">
        <f>(1-VLOOKUP(W2,$O$2:$U$102,4))/($B$6/(1+$B$6))</f>
        <v>19.55286778700053</v>
      </c>
      <c r="Y2" s="4">
        <f>(1-VLOOKUP(W2,$O$2:$U$102,6))/($B$6/(1+$B$6))</f>
        <v>19.487112077755341</v>
      </c>
      <c r="Z2" s="4">
        <f>(1+$B$6)^(-5)*(1-VLOOKUP(W2,$D$2:$G$102,3))*(1-VLOOKUP(W2,$D$2:$G$102,4))* EXP(-(($B$2 * 3) + ($B$3/ LN($B$4)) * ($B$4 ^ W4) * ($B$4 ^ 3 - 1)))</f>
        <v>0.78188347549607262</v>
      </c>
      <c r="AA2" s="5">
        <f>(1+$B$6)^(-10)*(1-VLOOKUP(W2,$D$2:$G$102,3))*(1-VLOOKUP(W2,$D$2:$G$102,4))* EXP(-(($B$2 * 3) + ($B$3/ LN($B$4)) * ($B$4 ^ W4) * ($B$4 ^ 3 - 1)))</f>
        <v>0.61262616218047317</v>
      </c>
      <c r="AB2" s="4">
        <f>(1+$B$6)^(-10)*(1-VLOOKUP(W2,$D$2:$G$102,3))*(1-VLOOKUP(W2,$D$2:$G$102,4))* EXP(-(($B$2 * 8) + ($B$3/ LN($B$4)) * ($B$4 ^ W4) * ($B$4 ^ 8 - 1)))</f>
        <v>0.61089179937706506</v>
      </c>
      <c r="AC2">
        <f>(1+$B$6)^(-20)*(1-VLOOKUP(W2,$D$2:$G$102,3))*(1-VLOOKUP(W2,$D$2:$G$102,4))* EXP(-(($B$2 * 8) + ($B$3/ LN($B$4)) * ($B$4 ^ W4) * ($B$4 ^ 8 - 1)))</f>
        <v>0.3750345721169428</v>
      </c>
      <c r="AD2">
        <f>(1+$B$6)^(-20)*(1-VLOOKUP(W2,$D$2:$G$102,3))*(1-VLOOKUP(W2,$D$2:$G$102,4))* EXP(-(($B$2 * 18) + ($B$3/ LN($B$4)) * ($B$4 ^ W4) * ($B$4 ^ 18 - 1)))</f>
        <v>0.37149063257935261</v>
      </c>
      <c r="AE2">
        <f>(1+$B$6)^(-40)*(1-VLOOKUP(W2,$D$2:$G$102,3))*(1-VLOOKUP(W2,$D$2:$G$102,4))* EXP(-(($B$2 * 18) + ($B$3/ LN($B$4)) * ($B$4 ^ W4) * ($B$4 ^ 18 - 1)))</f>
        <v>0.14001091240499608</v>
      </c>
      <c r="AG2">
        <v>20</v>
      </c>
      <c r="AH2">
        <f>$B$7-AG2</f>
        <v>45</v>
      </c>
      <c r="AI2" s="6">
        <f>(1+$B$6)^(-AH2)*(1-VLOOKUP(AG2,$D$2:$G$102,3))*(1-VLOOKUP(AG2,$D$2:$G$102,4))* EXP(-(($B$2 * (AH2-2)) + ($B$3/ LN($B$4)) * ($B$4 ^ AG4) * ($B$4 ^ (AH2-2) - 1)))</f>
        <v>9.707813336824217E-2</v>
      </c>
      <c r="AJ2" s="6">
        <f>VLOOKUP(AG2+AH2,$O$2:$U$102,2)*AI2</f>
        <v>4.1306624176059882E-2</v>
      </c>
      <c r="AK2" s="6">
        <f>AJ2*($B$6)/($B$8*((1+$B$6)^(1/$B$8) -1))</f>
        <v>4.2244895640552158E-2</v>
      </c>
      <c r="AL2" s="6">
        <f>AJ2*($B$6)/($B$9*((1+$B$6)^(1/$B$9) -1))</f>
        <v>4.2244895640552158E-2</v>
      </c>
      <c r="AM2" s="6">
        <f>VLOOKUP(AG2,$O$2:$U$102,4)  - AJ2</f>
        <v>2.7604433585819731E-2</v>
      </c>
      <c r="AN2" s="6">
        <f>AM2*($B$6)/($B$8*((1+$B$6)^(1/$B$8) -1))</f>
        <v>2.8231462611882283E-2</v>
      </c>
      <c r="AO2" s="6">
        <f>AM2*($B$6)/($B$9*((1+$B$6)^(1/$B$9) -1))</f>
        <v>2.8231462611882283E-2</v>
      </c>
      <c r="AP2" s="6">
        <f>AM2+AI2</f>
        <v>0.12468256695406191</v>
      </c>
      <c r="AQ2" s="6">
        <f>AN2+AI2</f>
        <v>0.12530959598012445</v>
      </c>
      <c r="AR2" s="6">
        <f>AO2+AI2</f>
        <v>0.12530959598012445</v>
      </c>
      <c r="AS2" s="4">
        <f>(1-AQ2)/($B$8 * (1 - (1 - ($B$6/(1+$B$6))) ^ (1 / $B$8)))</f>
        <v>17.964067196549571</v>
      </c>
      <c r="AT2">
        <f>$B$10</f>
        <v>10</v>
      </c>
      <c r="AU2">
        <f>(1+$B$6)^(-(AH2+AT2))*(1-VLOOKUP(AG2,$D$2:$G$102,3))*(1-VLOOKUP(AG2,$D$2:$G$102,4))* EXP(-(($B$2 * ((AH2+AT2)-2)) + ($B$3/ LN($B$4)) * ($B$4 ^ AG4) * ($B$4 ^ ((AH2+AT2)-2) - 1)))</f>
        <v>4.8444530863996645E-2</v>
      </c>
      <c r="AV2">
        <f>VLOOKUP((AG2+AH2+AT2),$O$2:$U$102,2)*($B$6)/($B$9*((1+$B$6)^(1/$B$9) -1))</f>
        <v>0.58447933309661326</v>
      </c>
      <c r="AW2">
        <f>(1-AV2)/($B$9*(1-(1-($B$6/(1+$B$6)))^(1/$B$9)))</f>
        <v>8.5338093884449613</v>
      </c>
      <c r="AX2" s="6">
        <f>(1-(1+$B$6)^(-AT2))/($B$9 * (1 - (1 - ($B$6/(1+$B$6))) ^ (1 / $B$9)))*AI2 + AU2*AW2</f>
        <v>1.1831786607933075</v>
      </c>
      <c r="AZ2">
        <v>20</v>
      </c>
      <c r="BA2">
        <f>FLOOR($B$22/41,1)</f>
        <v>48</v>
      </c>
      <c r="BB2" s="8">
        <v>50000</v>
      </c>
      <c r="BC2" s="20">
        <f>BB2*AX2/AS2</f>
        <v>3293.1814600998746</v>
      </c>
      <c r="BD2" s="20">
        <f>BC2*BA2</f>
        <v>158072.71008479397</v>
      </c>
      <c r="BF2">
        <v>20</v>
      </c>
      <c r="BG2">
        <f>$B$7-BF2</f>
        <v>45</v>
      </c>
      <c r="BH2">
        <f>$B$10</f>
        <v>10</v>
      </c>
      <c r="BI2">
        <f>AI2*(1+$B$6)^(-BG2)</f>
        <v>1.0804457335980141E-2</v>
      </c>
      <c r="BJ2">
        <f>S2*(EXP(2 * LN(1 + $B$6)) - 1) / ($B$8*((1+(EXP(2 * LN(1 + $B$6)) - 1))^(1/$B$8)-1))</f>
        <v>1.1542346454874789E-2</v>
      </c>
      <c r="BK2">
        <f>VLOOKUP(BF2+BG2,$O$2:$U$102, 3)* (EXP(2*LN(1+$B$6)) - 1)/($B$8*((1+(EXP(2*LN(1+$B$6)) - 1))^(1/$B$8) - 1))*BI2</f>
        <v>2.4635896799493381E-3</v>
      </c>
      <c r="BL2">
        <f>BJ2-BK2</f>
        <v>9.0787567749254505E-3</v>
      </c>
      <c r="BM2">
        <f>BI2+BL2</f>
        <v>1.9883214110905593E-2</v>
      </c>
      <c r="BN2">
        <f>VLOOKUP(BF2+BG2+BH2,$O$2:$U$102, 2)*$B$6/($B$9*((1+$B$6)^(1/$B$9) - 1))</f>
        <v>0.58447933309661326</v>
      </c>
      <c r="BO2">
        <f>VLOOKUP(BF2+BG2+BH2,$O$2:$U$102, 3)* (EXP(2*LN(1+$B$6)) - 1)/($B$9*((1+(EXP(2*LN(1+$B$6)) - 1))^(1/$B$9) - 1))</f>
        <v>0.37801632137707142</v>
      </c>
      <c r="BP2">
        <f>(1-BN2)/($B$9*(1-(1-($B$6/(1+$B$6)))^(1/$B$9)))</f>
        <v>8.5338093884449613</v>
      </c>
      <c r="BQ2">
        <f>(1-(1+$B$6)^(-BH2))/($B$9*(1-(1-($B$6/(1+$B$6)))^(1/$B$9))) + (1-VLOOKUP(BF2+BG2+BH2,$O$2:$U$102,2)*$B$6/($B$9*((1+$B$6)^(1/$B$9) - 1)))/($B$9*(1-(1-($B$6/(1+$B$6)))^(1/$B$9)))*AU2/AI2</f>
        <v>12.187900814957043</v>
      </c>
      <c r="BR2">
        <f>EXP(-(($B$2 * BH2) + ($B$3 / LN($B$4)) * ($B$4 ^ (BF2+BG2)) * ($B$4 ^ BH2 - 1)))</f>
        <v>0.81286107677604713</v>
      </c>
      <c r="BS2">
        <f>1-BR2</f>
        <v>0.18713892322395287</v>
      </c>
      <c r="BT2">
        <f>$B$9*(1-(1-($B$6/(1+$B$6)))^(1/$B$9))</f>
        <v>4.8691111787194874E-2</v>
      </c>
      <c r="BU2">
        <f>$B$8*(1-(1-($B$6/(1+$B$6)))^(1/$B$8))</f>
        <v>4.8691111787194874E-2</v>
      </c>
      <c r="BV2">
        <f>(1+$B$6)^(-(BG2+BH2))</f>
        <v>6.8326401896431521E-2</v>
      </c>
      <c r="BW2">
        <f>(1-VLOOKUP(AG2,$D$2:$G$102,3))*(1-VLOOKUP(AG2,$D$2:$G$102,4))* EXP(-(($B$2 * (AH2-2)) + ($B$3/ LN($B$4)) * ($B$4 ^ AG4) * ($B$4 ^ (AH2-2) - 1)))</f>
        <v>0.87224778489139076</v>
      </c>
      <c r="BX2">
        <f>(BR2*BV2^2*(BS2*BP2^2+(BO2-BN2^2)/(BT2^2)))*BW2</f>
        <v>9.5931486243501285E-2</v>
      </c>
      <c r="BY2">
        <f>((1+$B$6)^(-BG2)*BQ2)^2 * BW2 * (1-BW2)</f>
        <v>0.20503557506039982</v>
      </c>
      <c r="BZ2">
        <f>BX2+BY2</f>
        <v>0.30096706130390111</v>
      </c>
      <c r="CA2">
        <f>(BM2-AQ2^2)/($B$8*(1-(1-($B$6/(1+$B$6)))^(1/$B$8)))^2</f>
        <v>1.7634031960641874</v>
      </c>
      <c r="CB2">
        <f>BR2*(1+$B$6)^(-BH2)</f>
        <v>0.49902618832022805</v>
      </c>
      <c r="CC2" s="6">
        <f>AI2*((1-(1+$B$6)^(-BG2))/BU2 * (1 - (1+$B$6)^(-BH2))/BT2 + CB2*BP2* (1 - (1+$B$6)^(-BG2))/BT2) - AS2 *AX2</f>
        <v>0.34051359637085099</v>
      </c>
      <c r="CE2">
        <v>20</v>
      </c>
      <c r="CF2">
        <f>$BA2</f>
        <v>48</v>
      </c>
      <c r="CG2" s="20">
        <f>$BB2</f>
        <v>50000</v>
      </c>
      <c r="CH2" s="20">
        <f>$BC2*$B$11</f>
        <v>3342.5791820013724</v>
      </c>
      <c r="CI2" s="20">
        <f>CF2*CH2</f>
        <v>160443.80073606587</v>
      </c>
      <c r="CJ2" s="20">
        <f>AX2*CG2</f>
        <v>59158.933039665375</v>
      </c>
      <c r="CK2" s="20">
        <f>CH2*AS2</f>
        <v>60046.317035260356</v>
      </c>
      <c r="CL2" s="20">
        <f>CJ2-CK2</f>
        <v>-887.38399559498066</v>
      </c>
      <c r="CM2" s="20">
        <f>CL2*CF2</f>
        <v>-42594.431788559072</v>
      </c>
      <c r="CN2" s="20">
        <f>CH2^2*CA2+CG2^2*BZ2-2*CG2*CH2*CC2</f>
        <v>658300501.40287924</v>
      </c>
      <c r="CO2">
        <f>SQRT(CN2)</f>
        <v>25657.367390339939</v>
      </c>
      <c r="CP2" s="20">
        <f>CF2*CN2</f>
        <v>31598424067.338203</v>
      </c>
      <c r="CQ2">
        <f>SQRT(CP2)</f>
        <v>177759.45563411867</v>
      </c>
    </row>
    <row r="3" spans="1:95" x14ac:dyDescent="0.25">
      <c r="A3" s="1" t="s">
        <v>2</v>
      </c>
      <c r="B3" s="2">
        <v>2.5000000000000001E-5</v>
      </c>
      <c r="D3">
        <v>21</v>
      </c>
      <c r="E3" s="6">
        <f t="shared" ref="E3:E66" si="6">1 - EXP(-(($B$2 * 1) + ($B$3/ LN($B$4)) * ($B$4 ^ D3) * ($B$4 ^ 1 - 1)))</f>
        <v>4.140239102256027E-4</v>
      </c>
      <c r="F3" s="6">
        <f t="shared" ref="F3:F66" si="7">1-EXP(0.9^(2-1)* (($B$2*(1 - 0.9^1)/LN(0.9)) + ($B$3*$B$4^D3*($B$4^1 - 0.9^1)/LN(0.9/$B$4))))</f>
        <v>3.5381269797074566E-4</v>
      </c>
      <c r="G3" s="5">
        <f t="shared" ref="G3:G66" si="8">1-EXP(0.9^(1-1)*( ($B$2/LN(0.9)*(1-0.9^1)) + ($B$3*$B$4^(D3+1)/LN(0.9/$B$4)*($B$4^1 - 0.9^1))))</f>
        <v>4.1154886404159985E-4</v>
      </c>
      <c r="J3" s="9"/>
      <c r="K3" s="9"/>
      <c r="L3" s="9">
        <f>L2*(1-VLOOKUP(M2,D2:G102,2))</f>
        <v>99960.3615270476</v>
      </c>
      <c r="M3">
        <v>21</v>
      </c>
      <c r="O3">
        <v>21</v>
      </c>
      <c r="P3">
        <f t="shared" si="0"/>
        <v>7.2060693978328441E-2</v>
      </c>
      <c r="Q3">
        <f t="shared" si="1"/>
        <v>1.1848044997383973E-2</v>
      </c>
      <c r="R3">
        <f t="shared" si="2"/>
        <v>7.1989390173213305E-2</v>
      </c>
      <c r="S3" s="3">
        <f t="shared" si="3"/>
        <v>1.1776373488297224E-2</v>
      </c>
      <c r="T3">
        <f t="shared" si="4"/>
        <v>7.5261675520372884E-2</v>
      </c>
      <c r="U3">
        <f t="shared" si="5"/>
        <v>1.2634109181132775E-2</v>
      </c>
      <c r="W3">
        <v>21</v>
      </c>
      <c r="X3" s="4">
        <f t="shared" ref="X3:X6" si="9">(1-VLOOKUP(W3,O3:U103,4))/($B$6/(1+$B$6))</f>
        <v>19.488222806362522</v>
      </c>
      <c r="Y3" s="4">
        <f t="shared" ref="Y3:Y66" si="10">(1-VLOOKUP(W3,$O$2:$U$102,6))/($B$6/(1+$B$6))</f>
        <v>19.41950481407217</v>
      </c>
      <c r="Z3" s="4">
        <f t="shared" ref="Z3:Z66" si="11">(1+$B$6)^(-5)*(1-VLOOKUP(W3,$D$2:$G$102,3))*(1-VLOOKUP(W3,$D$2:$G$102,4))* EXP(-(($B$2 * 3) + ($B$3/ LN($B$4)) * ($B$4 ^ W5) * ($B$4 ^ 3 - 1)))</f>
        <v>0.78180200717386972</v>
      </c>
      <c r="AA3" s="5">
        <f t="shared" ref="AA3:AA66" si="12">(1+$B$6)^(-10)*(1-VLOOKUP(W3,$D$2:$G$102,3))*(1-VLOOKUP(W3,$D$2:$G$102,4))* EXP(-(($B$2 * 3) + ($B$3/ LN($B$4)) * ($B$4 ^ W5) * ($B$4 ^ 3 - 1)))</f>
        <v>0.61256232961828894</v>
      </c>
      <c r="AB3" s="4">
        <f t="shared" ref="AB3:AB66" si="13">(1+$B$6)^(-10)*(1-VLOOKUP(W3,$D$2:$G$102,3))*(1-VLOOKUP(W3,$D$2:$G$102,4))* EXP(-(($B$2 * 8) + ($B$3/ LN($B$4)) * ($B$4 ^ W5) * ($B$4 ^ 8 - 1)))</f>
        <v>0.61072217531544082</v>
      </c>
      <c r="AC3">
        <f t="shared" ref="AC3:AC66" si="14">(1+$B$6)^(-20)*(1-VLOOKUP(W3,$D$2:$G$102,3))*(1-VLOOKUP(W3,$D$2:$G$102,4))* EXP(-(($B$2 * 8) + ($B$3/ LN($B$4)) * ($B$4 ^ W5) * ($B$4 ^ 8 - 1)))</f>
        <v>0.37493043765739226</v>
      </c>
      <c r="AD3">
        <f t="shared" ref="AD3:AD66" si="15">(1+$B$6)^(-20)*(1-VLOOKUP(W3,$D$2:$G$102,3))*(1-VLOOKUP(W3,$D$2:$G$102,4))* EXP(-(($B$2 * 18) + ($B$3/ LN($B$4)) * ($B$4 ^ W5) * ($B$4 ^ 18 - 1)))</f>
        <v>0.37111666991239267</v>
      </c>
      <c r="AE3">
        <f t="shared" ref="AE3:AE66" si="16">(1+$B$6)^(-40)*(1-VLOOKUP(W3,$D$2:$G$102,3))*(1-VLOOKUP(W3,$D$2:$G$102,4))* EXP(-(($B$2 * 18) + ($B$3/ LN($B$4)) * ($B$4 ^ W5) * ($B$4 ^ 18 - 1)))</f>
        <v>0.13986996980883173</v>
      </c>
      <c r="AG3">
        <v>21</v>
      </c>
      <c r="AH3">
        <f t="shared" ref="AH3:AH47" si="17">$B$7-AG3</f>
        <v>44</v>
      </c>
      <c r="AI3" s="6">
        <f t="shared" ref="AI3:AI42" si="18">(1+$B$6)^(-AH3)*(1-VLOOKUP(AG3,$D$2:$G$102,3))*(1-VLOOKUP(AG3,$D$2:$G$102,4))* EXP(-(($B$2 * (AH3-2)) + ($B$3/ LN($B$4)) * ($B$4 ^ AG5) * ($B$4 ^ (AH3-2) - 1)))</f>
        <v>0.10197282055268427</v>
      </c>
      <c r="AJ3" s="6">
        <f t="shared" ref="AJ3:AJ42" si="19">VLOOKUP(AG3+AH3,$O$2:$U$102,2)*AI3</f>
        <v>4.3389307443363702E-2</v>
      </c>
      <c r="AK3" s="6">
        <f t="shared" ref="AK3:AK42" si="20">AJ3*($B$6)/($B$8*((1+$B$6)^(1/$B$8) -1))</f>
        <v>4.4374886629517225E-2</v>
      </c>
      <c r="AL3" s="6">
        <f t="shared" ref="AL3:AL42" si="21">AJ3*($B$6)/($B$9*((1+$B$6)^(1/$B$9) -1))</f>
        <v>4.4374886629517225E-2</v>
      </c>
      <c r="AM3" s="6">
        <f t="shared" ref="AM3:AM42" si="22">VLOOKUP(AG3,$O$2:$U$102,4)  - AJ3</f>
        <v>2.8600082729849603E-2</v>
      </c>
      <c r="AN3" s="6">
        <f t="shared" ref="AN3:AN42" si="23">AM3*($B$6)/($B$8*((1+$B$6)^(1/$B$8) -1))</f>
        <v>2.9249727721247586E-2</v>
      </c>
      <c r="AO3" s="6">
        <f t="shared" ref="AO3:AO42" si="24">AM3*($B$6)/($B$9*((1+$B$6)^(1/$B$9) -1))</f>
        <v>2.9249727721247586E-2</v>
      </c>
      <c r="AP3" s="6">
        <f t="shared" ref="AP3:AP42" si="25">AM3+AI3</f>
        <v>0.13057290328253388</v>
      </c>
      <c r="AQ3" s="6">
        <f t="shared" ref="AQ3:AQ42" si="26">AN3+AI3</f>
        <v>0.13122254827393184</v>
      </c>
      <c r="AR3" s="6">
        <f t="shared" ref="AR3:AR42" si="27">AO3+AI3</f>
        <v>0.13122254827393184</v>
      </c>
      <c r="AS3" s="4">
        <f t="shared" ref="AS3:AS42" si="28">(1-AQ3)/($B$8 * (1 - (1 - ($B$6/(1+$B$6))) ^ (1 / $B$8)))</f>
        <v>17.842629174767485</v>
      </c>
      <c r="AT3">
        <f t="shared" ref="AT3:AT42" si="29">$B$10</f>
        <v>10</v>
      </c>
      <c r="AU3">
        <f t="shared" ref="AU3:AU42" si="30">(1+$B$6)^(-(AH3+AT3))*(1-VLOOKUP(AG3,$D$2:$G$102,3))*(1-VLOOKUP(AG3,$D$2:$G$102,4))* EXP(-(($B$2 * ((AH3+AT3)-2)) + ($B$3/ LN($B$4)) * ($B$4 ^ AG5) * ($B$4 ^ ((AH3+AT3)-2) - 1)))</f>
        <v>5.0887107952668639E-2</v>
      </c>
      <c r="AV3">
        <f t="shared" ref="AV3:AV42" si="31">VLOOKUP((AG3+AH3+AT3),$O$2:$U$102,2)*($B$6)/($B$9*((1+$B$6)^(1/$B$9) -1))</f>
        <v>0.58447933309661326</v>
      </c>
      <c r="AW3">
        <f t="shared" ref="AW3:AW42" si="32">(1-AV3)/($B$9*(1-(1-($B$6/(1+$B$6)))^(1/$B$9)))</f>
        <v>8.5338093884449613</v>
      </c>
      <c r="AX3" s="6">
        <f t="shared" ref="AX3:AX42" si="33">(1-(1+$B$6)^(-AT3))/($B$9 * (1 - (1 - ($B$6/(1+$B$6))) ^ (1 / $B$9)))*AI3 + AU3*AW3</f>
        <v>1.2428346227175289</v>
      </c>
      <c r="AZ3">
        <v>21</v>
      </c>
      <c r="BA3">
        <f t="shared" ref="BA3:BA41" si="34">FLOOR($B$22/41,1)</f>
        <v>48</v>
      </c>
      <c r="BB3" s="8">
        <v>50000</v>
      </c>
      <c r="BC3" s="20">
        <f t="shared" ref="BC3:BC41" si="35">BB3*AX3/AS3</f>
        <v>3482.7676194579794</v>
      </c>
      <c r="BD3" s="20">
        <f t="shared" ref="BD3:BD42" si="36">BC3*BA3</f>
        <v>167172.84573398301</v>
      </c>
      <c r="BF3">
        <v>21</v>
      </c>
      <c r="BG3">
        <f t="shared" ref="BG3:BG42" si="37">$B$7-BF3</f>
        <v>44</v>
      </c>
      <c r="BH3">
        <f t="shared" ref="BH3:BH42" si="38">$B$10</f>
        <v>10</v>
      </c>
      <c r="BI3">
        <f t="shared" ref="BI3:BI42" si="39">AI3*(1+$B$6)^(-BG3)</f>
        <v>1.1916679878437341E-2</v>
      </c>
      <c r="BJ3">
        <f t="shared" ref="BJ3:BJ42" si="40">S3*(EXP(2 * LN(1 + $B$6)) - 1) / ($B$8*((1+(EXP(2 * LN(1 + $B$6)) - 1))^(1/$B$8)-1))</f>
        <v>1.2319871830992439E-2</v>
      </c>
      <c r="BK3">
        <f t="shared" ref="BK3:BK42" si="41">VLOOKUP(BF3+BG3,$O$2:$U$102, 3)* (EXP(2*LN(1+$B$6)) - 1)/($B$8*((1+(EXP(2*LN(1+$B$6)) - 1))^(1/$B$8) - 1))*BI3</f>
        <v>2.7171942703696126E-3</v>
      </c>
      <c r="BL3">
        <f t="shared" ref="BL3:BL42" si="42">BJ3-BK3</f>
        <v>9.6026775606228264E-3</v>
      </c>
      <c r="BM3">
        <f t="shared" ref="BM3:BM42" si="43">BI3+BL3</f>
        <v>2.1519357439060166E-2</v>
      </c>
      <c r="BN3">
        <f t="shared" ref="BN3:BN15" si="44">VLOOKUP(BF3+BG3+BH3,$O$2:$U$102, 2)*$B$6/($B$9*((1+$B$6)^(1/$B$9) - 1))</f>
        <v>0.58447933309661326</v>
      </c>
      <c r="BO3">
        <f t="shared" ref="BO3:BO15" si="45">VLOOKUP(BF3+BG3+BH3,$O$2:$U$102, 3)* (EXP(2*LN(1+$B$6)) - 1)/($B$9*((1+(EXP(2*LN(1+$B$6)) - 1))^(1/$B$9) - 1))</f>
        <v>0.37801632137707142</v>
      </c>
      <c r="BP3">
        <f t="shared" ref="BP3:BP15" si="46">(1-BN3)/($B$9*(1-(1-($B$6/(1+$B$6)))^(1/$B$9)))</f>
        <v>8.5338093884449613</v>
      </c>
      <c r="BQ3">
        <f t="shared" ref="BQ3:BQ42" si="47">(1-(1+$B$6)^(-BH3))/($B$9*(1-(1-($B$6/(1+$B$6)))^(1/$B$9))) + (1-VLOOKUP(BF3+BG3+BH3,$O$2:$U$102,2)*$B$6/($B$9*((1+$B$6)^(1/$B$9) - 1)))/($B$9*(1-(1-($B$6/(1+$B$6)))^(1/$B$9)))*AU3/AI3</f>
        <v>12.187900814957043</v>
      </c>
      <c r="BR3">
        <f t="shared" ref="BR3:BR42" si="48">EXP(-(($B$2 * BH3) + ($B$3 / LN($B$4)) * ($B$4 ^ (BF3+BG3)) * ($B$4 ^ BH3 - 1)))</f>
        <v>0.81286107677604713</v>
      </c>
      <c r="BS3">
        <f t="shared" ref="BS3:BS42" si="49">1-BR3</f>
        <v>0.18713892322395287</v>
      </c>
      <c r="BT3">
        <f t="shared" ref="BT3:BT42" si="50">$B$9*(1-(1-($B$6/(1+$B$6)))^(1/$B$9))</f>
        <v>4.8691111787194874E-2</v>
      </c>
      <c r="BU3">
        <f t="shared" ref="BU3:BU42" si="51">$B$8*(1-(1-($B$6/(1+$B$6)))^(1/$B$8))</f>
        <v>4.8691111787194874E-2</v>
      </c>
      <c r="BV3">
        <f t="shared" ref="BV3:BV42" si="52">(1+$B$6)^(-(BG3+BH3))</f>
        <v>7.1742721991253117E-2</v>
      </c>
      <c r="BW3">
        <f t="shared" ref="BW3:BW42" si="53">(1-VLOOKUP(AG3,$D$2:$G$102,3))*(1-VLOOKUP(AG3,$D$2:$G$102,4))* EXP(-(($B$2 * (AH3-2)) + ($B$3/ LN($B$4)) * ($B$4 ^ AG5) * ($B$4 ^ (AH3-2) - 1)))</f>
        <v>0.87259674989553537</v>
      </c>
      <c r="BX3">
        <f t="shared" ref="BX3:BX42" si="54">(BR3*BV3^2*(BS3*BP3^2+(BO3-BN3^2)/(BT3^2)))*BW3</f>
        <v>0.10580677735841278</v>
      </c>
      <c r="BY3">
        <f t="shared" ref="BY3:BY42" si="55">((1+$B$6)^(-BG3)*BQ3)^2 * BW3 * (1-BW3)</f>
        <v>0.22552443456257584</v>
      </c>
      <c r="BZ3">
        <f t="shared" ref="BZ3:BZ42" si="56">BX3+BY3</f>
        <v>0.33133121192098863</v>
      </c>
      <c r="CA3">
        <f t="shared" ref="CA3:CA42" si="57">(BM3-AQ3^2)/($B$8*(1-(1-($B$6/(1+$B$6)))^(1/$B$8)))^2</f>
        <v>1.8137152305652833</v>
      </c>
      <c r="CB3">
        <f t="shared" ref="CB3:CB42" si="58">BR3*(1+$B$6)^(-BH3)</f>
        <v>0.49902618832022805</v>
      </c>
      <c r="CC3" s="6">
        <f t="shared" ref="CC3:CC42" si="59">AI3*((1-(1+$B$6)^(-BG3))/BU3 * (1 - (1+$B$6)^(-BH3))/BT3 + CB3*BP3* (1 - (1+$B$6)^(-BG3))/BT3) - AS3 *AX3</f>
        <v>0.36656821376524817</v>
      </c>
      <c r="CE3">
        <v>21</v>
      </c>
      <c r="CF3">
        <f t="shared" ref="CF3:CF42" si="60">$BA3</f>
        <v>48</v>
      </c>
      <c r="CG3" s="20">
        <f t="shared" ref="CG3:CG42" si="61">$BB3</f>
        <v>50000</v>
      </c>
      <c r="CH3" s="20">
        <f t="shared" ref="CH3:CH42" si="62">$BC3*$B$11</f>
        <v>3535.0091337498488</v>
      </c>
      <c r="CI3" s="20">
        <f t="shared" ref="CI3:CI42" si="63">CF3*CH3</f>
        <v>169680.43841999274</v>
      </c>
      <c r="CJ3" s="20">
        <f t="shared" ref="CJ3:CJ42" si="64">AX3*CG3</f>
        <v>62141.731135876442</v>
      </c>
      <c r="CK3" s="20">
        <f t="shared" ref="CK3:CK42" si="65">CH3*AS3</f>
        <v>63073.857102914582</v>
      </c>
      <c r="CL3" s="20">
        <f t="shared" ref="CL3:CL42" si="66">CJ3-CK3</f>
        <v>-932.12596703814052</v>
      </c>
      <c r="CM3" s="20">
        <f t="shared" ref="CM3:CM42" si="67">CL3*CF3</f>
        <v>-44742.046417830745</v>
      </c>
      <c r="CN3" s="20">
        <f t="shared" ref="CN3:CN42" si="68">CH3^2*CA3+CG3^2*BZ3-2*CG3*CH3*CC3</f>
        <v>721410542.15121174</v>
      </c>
      <c r="CO3">
        <f t="shared" ref="CO3:CO42" si="69">SQRT(CN3)</f>
        <v>26859.086770611018</v>
      </c>
      <c r="CP3" s="20">
        <f t="shared" ref="CP3:CP42" si="70">CF3*CN3</f>
        <v>34627706023.258163</v>
      </c>
      <c r="CQ3">
        <f t="shared" ref="CQ3:CQ42" si="71">SQRT(CP3)</f>
        <v>186085.21172639745</v>
      </c>
    </row>
    <row r="4" spans="1:95" x14ac:dyDescent="0.25">
      <c r="A4" s="1" t="s">
        <v>3</v>
      </c>
      <c r="B4">
        <v>1.1000000000000001</v>
      </c>
      <c r="D4">
        <v>22</v>
      </c>
      <c r="E4" s="6">
        <f t="shared" si="6"/>
        <v>4.3342664948764487E-4</v>
      </c>
      <c r="F4" s="6">
        <f t="shared" si="7"/>
        <v>3.7040160054890858E-4</v>
      </c>
      <c r="G4" s="5">
        <f t="shared" si="8"/>
        <v>4.3182298099808669E-4</v>
      </c>
      <c r="I4">
        <v>20</v>
      </c>
      <c r="J4" s="9">
        <f>L4/((1-VLOOKUP(I4,D2:G102,3))*(1-VLOOKUP(I4,D2:G102,4)))</f>
        <v>99992.141393933794</v>
      </c>
      <c r="K4" s="9">
        <f>L4/(1-VLOOKUP(I4,D2:G102,4))</f>
        <v>99958.27089203689</v>
      </c>
      <c r="L4" s="9">
        <f t="shared" ref="L4:L67" si="72">L3*(1-VLOOKUP(M3,D3:G103,2))</f>
        <v>99918.975547300608</v>
      </c>
      <c r="M4">
        <v>22</v>
      </c>
      <c r="O4">
        <v>22</v>
      </c>
      <c r="P4">
        <f t="shared" si="0"/>
        <v>7.5280872848361144E-2</v>
      </c>
      <c r="Q4">
        <f t="shared" si="1"/>
        <v>1.2653684627378417E-2</v>
      </c>
      <c r="R4">
        <f t="shared" si="2"/>
        <v>7.5206473755681874E-2</v>
      </c>
      <c r="S4" s="3">
        <f t="shared" si="3"/>
        <v>1.2578694059280755E-2</v>
      </c>
      <c r="T4">
        <f t="shared" si="4"/>
        <v>7.8625518860947152E-2</v>
      </c>
      <c r="U4">
        <f t="shared" si="5"/>
        <v>1.3502609988159326E-2</v>
      </c>
      <c r="W4">
        <v>22</v>
      </c>
      <c r="X4" s="4">
        <f t="shared" si="9"/>
        <v>19.420664051130682</v>
      </c>
      <c r="Y4" s="4">
        <f t="shared" si="10"/>
        <v>19.348864103920111</v>
      </c>
      <c r="Z4" s="4">
        <f t="shared" si="11"/>
        <v>0.78171240182373269</v>
      </c>
      <c r="AA4" s="5">
        <f t="shared" si="12"/>
        <v>0.61249212148180088</v>
      </c>
      <c r="AB4" s="4">
        <f t="shared" si="13"/>
        <v>0.61053564324636189</v>
      </c>
      <c r="AC4">
        <f t="shared" si="14"/>
        <v>0.37481592314797435</v>
      </c>
      <c r="AD4">
        <f t="shared" si="15"/>
        <v>0.37070574576522308</v>
      </c>
      <c r="AE4">
        <f t="shared" si="16"/>
        <v>0.13971509681950495</v>
      </c>
      <c r="AG4">
        <v>22</v>
      </c>
      <c r="AH4">
        <f t="shared" si="17"/>
        <v>43</v>
      </c>
      <c r="AI4" s="6">
        <f t="shared" si="18"/>
        <v>0.10711622628006073</v>
      </c>
      <c r="AJ4" s="6">
        <f t="shared" si="19"/>
        <v>4.5577820139212834E-2</v>
      </c>
      <c r="AK4" s="6">
        <f t="shared" si="20"/>
        <v>4.6613110940710224E-2</v>
      </c>
      <c r="AL4" s="6">
        <f t="shared" si="21"/>
        <v>4.6613110940710224E-2</v>
      </c>
      <c r="AM4" s="6">
        <f t="shared" si="22"/>
        <v>2.962865361646904E-2</v>
      </c>
      <c r="AN4" s="6">
        <f t="shared" si="23"/>
        <v>3.0301662383807878E-2</v>
      </c>
      <c r="AO4" s="6">
        <f t="shared" si="24"/>
        <v>3.0301662383807878E-2</v>
      </c>
      <c r="AP4" s="6">
        <f t="shared" si="25"/>
        <v>0.13674487989652978</v>
      </c>
      <c r="AQ4" s="6">
        <f t="shared" si="26"/>
        <v>0.13741788866386861</v>
      </c>
      <c r="AR4" s="6">
        <f t="shared" si="27"/>
        <v>0.13741788866386861</v>
      </c>
      <c r="AS4" s="4">
        <f t="shared" si="28"/>
        <v>17.715391570972081</v>
      </c>
      <c r="AT4">
        <f t="shared" si="29"/>
        <v>10</v>
      </c>
      <c r="AU4">
        <f t="shared" si="30"/>
        <v>5.3453802107785747E-2</v>
      </c>
      <c r="AV4">
        <f t="shared" si="31"/>
        <v>0.58447933309661326</v>
      </c>
      <c r="AW4">
        <f t="shared" si="32"/>
        <v>8.5338093884449613</v>
      </c>
      <c r="AX4" s="6">
        <f t="shared" si="33"/>
        <v>1.3055219415738752</v>
      </c>
      <c r="AZ4">
        <v>22</v>
      </c>
      <c r="BA4">
        <f t="shared" si="34"/>
        <v>48</v>
      </c>
      <c r="BB4" s="8">
        <v>50000</v>
      </c>
      <c r="BC4" s="20">
        <f t="shared" si="35"/>
        <v>3684.7109372198838</v>
      </c>
      <c r="BD4" s="20">
        <f t="shared" si="36"/>
        <v>176866.12498655444</v>
      </c>
      <c r="BF4">
        <v>22</v>
      </c>
      <c r="BG4">
        <f t="shared" si="37"/>
        <v>43</v>
      </c>
      <c r="BH4">
        <f t="shared" si="38"/>
        <v>10</v>
      </c>
      <c r="BI4">
        <f t="shared" si="39"/>
        <v>1.314363239164857E-2</v>
      </c>
      <c r="BJ4">
        <f t="shared" si="40"/>
        <v>1.3159220770775004E-2</v>
      </c>
      <c r="BK4">
        <f t="shared" si="41"/>
        <v>2.9969591354932971E-3</v>
      </c>
      <c r="BL4">
        <f t="shared" si="42"/>
        <v>1.0162261635281706E-2</v>
      </c>
      <c r="BM4">
        <f t="shared" si="43"/>
        <v>2.3305894026930278E-2</v>
      </c>
      <c r="BN4">
        <f t="shared" si="44"/>
        <v>0.58447933309661326</v>
      </c>
      <c r="BO4">
        <f t="shared" si="45"/>
        <v>0.37801632137707142</v>
      </c>
      <c r="BP4">
        <f t="shared" si="46"/>
        <v>8.5338093884449613</v>
      </c>
      <c r="BQ4">
        <f t="shared" si="47"/>
        <v>12.187900814957043</v>
      </c>
      <c r="BR4">
        <f t="shared" si="48"/>
        <v>0.81286107677604713</v>
      </c>
      <c r="BS4">
        <f t="shared" si="49"/>
        <v>0.18713892322395287</v>
      </c>
      <c r="BT4">
        <f t="shared" si="50"/>
        <v>4.8691111787194874E-2</v>
      </c>
      <c r="BU4">
        <f t="shared" si="51"/>
        <v>4.8691111787194874E-2</v>
      </c>
      <c r="BV4">
        <f t="shared" si="52"/>
        <v>7.5329858090815757E-2</v>
      </c>
      <c r="BW4">
        <f t="shared" si="53"/>
        <v>0.87296156728878482</v>
      </c>
      <c r="BX4">
        <f t="shared" si="54"/>
        <v>0.11670074218074449</v>
      </c>
      <c r="BY4">
        <f t="shared" si="55"/>
        <v>0.24803236467534798</v>
      </c>
      <c r="BZ4">
        <f t="shared" si="56"/>
        <v>0.36473310685609245</v>
      </c>
      <c r="CA4">
        <f t="shared" si="57"/>
        <v>1.8652659233270492</v>
      </c>
      <c r="CB4">
        <f t="shared" si="58"/>
        <v>0.49902618832022805</v>
      </c>
      <c r="CC4" s="6">
        <f t="shared" si="59"/>
        <v>0.39450281935888754</v>
      </c>
      <c r="CE4">
        <v>22</v>
      </c>
      <c r="CF4">
        <f t="shared" si="60"/>
        <v>48</v>
      </c>
      <c r="CG4" s="20">
        <f t="shared" si="61"/>
        <v>50000</v>
      </c>
      <c r="CH4" s="20">
        <f t="shared" si="62"/>
        <v>3739.9816012781816</v>
      </c>
      <c r="CI4" s="20">
        <f t="shared" si="63"/>
        <v>179519.11686135273</v>
      </c>
      <c r="CJ4" s="20">
        <f t="shared" si="64"/>
        <v>65276.097078693761</v>
      </c>
      <c r="CK4" s="20">
        <f t="shared" si="65"/>
        <v>66255.238534874166</v>
      </c>
      <c r="CL4" s="20">
        <f t="shared" si="66"/>
        <v>-979.14145618040493</v>
      </c>
      <c r="CM4" s="20">
        <f t="shared" si="67"/>
        <v>-46998.789896659437</v>
      </c>
      <c r="CN4" s="20">
        <f t="shared" si="68"/>
        <v>790379775.46208501</v>
      </c>
      <c r="CO4">
        <f t="shared" si="69"/>
        <v>28113.693735652829</v>
      </c>
      <c r="CP4" s="20">
        <f t="shared" si="70"/>
        <v>37938229222.180084</v>
      </c>
      <c r="CQ4">
        <f t="shared" si="71"/>
        <v>194777.38375432626</v>
      </c>
    </row>
    <row r="5" spans="1:95" ht="18" x14ac:dyDescent="0.35">
      <c r="A5" s="1" t="s">
        <v>11</v>
      </c>
      <c r="B5" s="8">
        <v>100000</v>
      </c>
      <c r="D5">
        <v>23</v>
      </c>
      <c r="E5" s="6">
        <f t="shared" si="6"/>
        <v>4.5476922767750949E-4</v>
      </c>
      <c r="F5" s="6">
        <f t="shared" si="7"/>
        <v>3.8864907542601745E-4</v>
      </c>
      <c r="G5" s="5">
        <f t="shared" si="8"/>
        <v>4.5412403470401763E-4</v>
      </c>
      <c r="I5">
        <v>21</v>
      </c>
      <c r="J5" s="9">
        <f t="shared" ref="J5:J68" si="73">L5/((1-VLOOKUP(I5,D3:G103,3))*(1-VLOOKUP(I5,D3:G103,4)))</f>
        <v>99952.152982287589</v>
      </c>
      <c r="K5" s="9">
        <f t="shared" ref="K5:K68" si="74">L5/(1-VLOOKUP(I5,D3:G103,4))</f>
        <v>99916.788641372943</v>
      </c>
      <c r="L5" s="9">
        <f t="shared" si="72"/>
        <v>99875.6680005089</v>
      </c>
      <c r="M5">
        <v>23</v>
      </c>
      <c r="O5">
        <v>23</v>
      </c>
      <c r="P5">
        <f t="shared" si="0"/>
        <v>7.8645576930197442E-2</v>
      </c>
      <c r="Q5">
        <f t="shared" si="1"/>
        <v>1.3523121933627365E-2</v>
      </c>
      <c r="R5">
        <f t="shared" si="2"/>
        <v>7.8567785884000499E-2</v>
      </c>
      <c r="S5" s="3">
        <f t="shared" si="3"/>
        <v>1.3444486099475541E-2</v>
      </c>
      <c r="T5">
        <f t="shared" si="4"/>
        <v>8.2139449523887978E-2</v>
      </c>
      <c r="U5">
        <f t="shared" si="5"/>
        <v>1.4439508750971438E-2</v>
      </c>
      <c r="W5">
        <v>23</v>
      </c>
      <c r="X5" s="4">
        <f t="shared" si="9"/>
        <v>19.350076496435992</v>
      </c>
      <c r="Y5" s="4">
        <f t="shared" si="10"/>
        <v>19.275071559998352</v>
      </c>
      <c r="Z5" s="4">
        <f t="shared" si="11"/>
        <v>0.78161384780040477</v>
      </c>
      <c r="AA5" s="5">
        <f t="shared" si="12"/>
        <v>0.61241490182571279</v>
      </c>
      <c r="AB5" s="4">
        <f t="shared" si="13"/>
        <v>0.61033052377264718</v>
      </c>
      <c r="AC5">
        <f t="shared" si="14"/>
        <v>0.3746899975845015</v>
      </c>
      <c r="AD5">
        <f t="shared" si="15"/>
        <v>0.37025425471070894</v>
      </c>
      <c r="AE5">
        <f t="shared" si="16"/>
        <v>0.13954493458944736</v>
      </c>
      <c r="AG5">
        <v>23</v>
      </c>
      <c r="AH5">
        <f t="shared" si="17"/>
        <v>42</v>
      </c>
      <c r="AI5" s="6">
        <f t="shared" si="18"/>
        <v>0.11252128802403884</v>
      </c>
      <c r="AJ5" s="6">
        <f t="shared" si="19"/>
        <v>4.787766714245096E-2</v>
      </c>
      <c r="AK5" s="6">
        <f t="shared" si="20"/>
        <v>4.8965198495164515E-2</v>
      </c>
      <c r="AL5" s="6">
        <f t="shared" si="21"/>
        <v>4.8965198495164515E-2</v>
      </c>
      <c r="AM5" s="6">
        <f t="shared" si="22"/>
        <v>3.0690118741549539E-2</v>
      </c>
      <c r="AN5" s="6">
        <f t="shared" si="23"/>
        <v>3.1387238470684038E-2</v>
      </c>
      <c r="AO5" s="6">
        <f t="shared" si="24"/>
        <v>3.1387238470684038E-2</v>
      </c>
      <c r="AP5" s="6">
        <f t="shared" si="25"/>
        <v>0.14321140676558838</v>
      </c>
      <c r="AQ5" s="6">
        <f t="shared" si="26"/>
        <v>0.14390852649472288</v>
      </c>
      <c r="AR5" s="6">
        <f t="shared" si="27"/>
        <v>0.14390852649472288</v>
      </c>
      <c r="AS5" s="4">
        <f t="shared" si="28"/>
        <v>17.582089257826681</v>
      </c>
      <c r="AT5">
        <f t="shared" si="29"/>
        <v>10</v>
      </c>
      <c r="AU5">
        <f t="shared" si="30"/>
        <v>5.6151069467518605E-2</v>
      </c>
      <c r="AV5">
        <f t="shared" si="31"/>
        <v>0.58447933309661326</v>
      </c>
      <c r="AW5">
        <f t="shared" si="32"/>
        <v>8.5338093884449613</v>
      </c>
      <c r="AX5" s="6">
        <f t="shared" si="33"/>
        <v>1.3713982980081989</v>
      </c>
      <c r="AZ5">
        <v>23</v>
      </c>
      <c r="BA5">
        <f t="shared" si="34"/>
        <v>48</v>
      </c>
      <c r="BB5" s="8">
        <v>50000</v>
      </c>
      <c r="BC5" s="20">
        <f t="shared" si="35"/>
        <v>3899.9867362114542</v>
      </c>
      <c r="BD5" s="20">
        <f t="shared" si="36"/>
        <v>187199.36333814979</v>
      </c>
      <c r="BF5">
        <v>23</v>
      </c>
      <c r="BG5">
        <f t="shared" si="37"/>
        <v>42</v>
      </c>
      <c r="BH5">
        <f t="shared" si="38"/>
        <v>10</v>
      </c>
      <c r="BI5">
        <f t="shared" si="39"/>
        <v>1.4497200118531227E-2</v>
      </c>
      <c r="BJ5">
        <f t="shared" si="40"/>
        <v>1.4064970488894339E-2</v>
      </c>
      <c r="BK5">
        <f t="shared" si="41"/>
        <v>3.3055943014590936E-3</v>
      </c>
      <c r="BL5">
        <f t="shared" si="42"/>
        <v>1.0759376187435245E-2</v>
      </c>
      <c r="BM5">
        <f t="shared" si="43"/>
        <v>2.525657630596647E-2</v>
      </c>
      <c r="BN5">
        <f t="shared" si="44"/>
        <v>0.58447933309661326</v>
      </c>
      <c r="BO5">
        <f t="shared" si="45"/>
        <v>0.37801632137707142</v>
      </c>
      <c r="BP5">
        <f t="shared" si="46"/>
        <v>8.5338093884449613</v>
      </c>
      <c r="BQ5">
        <f t="shared" si="47"/>
        <v>12.187900814957041</v>
      </c>
      <c r="BR5">
        <f t="shared" si="48"/>
        <v>0.81286107677604713</v>
      </c>
      <c r="BS5">
        <f t="shared" si="49"/>
        <v>0.18713892322395287</v>
      </c>
      <c r="BT5">
        <f t="shared" si="50"/>
        <v>4.8691111787194874E-2</v>
      </c>
      <c r="BU5">
        <f t="shared" si="51"/>
        <v>4.8691111787194874E-2</v>
      </c>
      <c r="BV5">
        <f t="shared" si="52"/>
        <v>7.9096350995356543E-2</v>
      </c>
      <c r="BW5">
        <f t="shared" si="53"/>
        <v>0.8733438288131633</v>
      </c>
      <c r="BX5">
        <f t="shared" si="54"/>
        <v>0.12871890836283265</v>
      </c>
      <c r="BY5">
        <f t="shared" si="55"/>
        <v>0.27275223102469925</v>
      </c>
      <c r="BZ5">
        <f t="shared" si="56"/>
        <v>0.40147113938753187</v>
      </c>
      <c r="CA5">
        <f t="shared" si="57"/>
        <v>1.9178613022682434</v>
      </c>
      <c r="CB5">
        <f t="shared" si="58"/>
        <v>0.49902618832022805</v>
      </c>
      <c r="CC5" s="6">
        <f t="shared" si="59"/>
        <v>0.42441978435012118</v>
      </c>
      <c r="CE5">
        <v>23</v>
      </c>
      <c r="CF5">
        <f t="shared" si="60"/>
        <v>48</v>
      </c>
      <c r="CG5" s="20">
        <f t="shared" si="61"/>
        <v>50000</v>
      </c>
      <c r="CH5" s="20">
        <f t="shared" si="62"/>
        <v>3958.4865372546255</v>
      </c>
      <c r="CI5" s="20">
        <f t="shared" si="63"/>
        <v>190007.35378822201</v>
      </c>
      <c r="CJ5" s="20">
        <f t="shared" si="64"/>
        <v>68569.914900409945</v>
      </c>
      <c r="CK5" s="20">
        <f t="shared" si="65"/>
        <v>69598.46362391609</v>
      </c>
      <c r="CL5" s="20">
        <f t="shared" si="66"/>
        <v>-1028.5487235061446</v>
      </c>
      <c r="CM5" s="20">
        <f t="shared" si="67"/>
        <v>-49370.338728294941</v>
      </c>
      <c r="CN5" s="20">
        <f t="shared" si="68"/>
        <v>865723997.72590351</v>
      </c>
      <c r="CO5">
        <f t="shared" si="69"/>
        <v>29423.188095886271</v>
      </c>
      <c r="CP5" s="20">
        <f t="shared" si="70"/>
        <v>41554751890.843369</v>
      </c>
      <c r="CQ5">
        <f t="shared" si="71"/>
        <v>203849.82681092317</v>
      </c>
    </row>
    <row r="6" spans="1:95" x14ac:dyDescent="0.25">
      <c r="A6" s="1" t="s">
        <v>13</v>
      </c>
      <c r="B6">
        <v>0.05</v>
      </c>
      <c r="D6">
        <v>24</v>
      </c>
      <c r="E6" s="6">
        <f t="shared" si="6"/>
        <v>4.78245537349542E-4</v>
      </c>
      <c r="F6" s="6">
        <f t="shared" si="7"/>
        <v>4.0872091306798364E-4</v>
      </c>
      <c r="G6" s="5">
        <f t="shared" si="8"/>
        <v>4.7865461910856499E-4</v>
      </c>
      <c r="I6">
        <v>22</v>
      </c>
      <c r="J6" s="9">
        <f t="shared" si="73"/>
        <v>99910.382204206355</v>
      </c>
      <c r="K6" s="9">
        <f t="shared" si="74"/>
        <v>99873.375238726469</v>
      </c>
      <c r="L6" s="9">
        <f t="shared" si="72"/>
        <v>99830.247620108537</v>
      </c>
      <c r="M6">
        <v>24</v>
      </c>
      <c r="O6">
        <v>24</v>
      </c>
      <c r="P6">
        <f t="shared" si="0"/>
        <v>8.2160450593691939E-2</v>
      </c>
      <c r="Q6">
        <f t="shared" si="1"/>
        <v>1.4461049144297421E-2</v>
      </c>
      <c r="R6">
        <f t="shared" si="2"/>
        <v>8.2078943904344157E-2</v>
      </c>
      <c r="S6" s="3">
        <f t="shared" si="3"/>
        <v>1.4378410326373115E-2</v>
      </c>
      <c r="T6">
        <f t="shared" si="4"/>
        <v>8.5809242218322535E-2</v>
      </c>
      <c r="U6">
        <f t="shared" si="5"/>
        <v>1.5449791124493488E-2</v>
      </c>
      <c r="W6">
        <v>24</v>
      </c>
      <c r="X6" s="4">
        <f t="shared" si="9"/>
        <v>19.276342178008775</v>
      </c>
      <c r="Y6" s="4">
        <f t="shared" si="10"/>
        <v>19.198005913415226</v>
      </c>
      <c r="Z6" s="4">
        <f t="shared" si="11"/>
        <v>0.78150545272573435</v>
      </c>
      <c r="AA6" s="5">
        <f t="shared" si="12"/>
        <v>0.61232997144839219</v>
      </c>
      <c r="AB6" s="4">
        <f t="shared" si="13"/>
        <v>0.61010497194547886</v>
      </c>
      <c r="AC6">
        <f t="shared" si="14"/>
        <v>0.37455152832844263</v>
      </c>
      <c r="AD6">
        <f t="shared" si="15"/>
        <v>0.36975824963790038</v>
      </c>
      <c r="AE6">
        <f t="shared" si="16"/>
        <v>0.13935799549405412</v>
      </c>
      <c r="AG6">
        <v>24</v>
      </c>
      <c r="AH6">
        <f t="shared" si="17"/>
        <v>41</v>
      </c>
      <c r="AI6" s="6">
        <f t="shared" si="18"/>
        <v>0.11820166236158783</v>
      </c>
      <c r="AJ6" s="6">
        <f t="shared" si="19"/>
        <v>5.0294659309476179E-2</v>
      </c>
      <c r="AK6" s="6">
        <f t="shared" si="20"/>
        <v>5.1437092141685015E-2</v>
      </c>
      <c r="AL6" s="6">
        <f t="shared" si="21"/>
        <v>5.1437092141685015E-2</v>
      </c>
      <c r="AM6" s="6">
        <f t="shared" si="22"/>
        <v>3.1784284594867977E-2</v>
      </c>
      <c r="AN6" s="6">
        <f t="shared" si="23"/>
        <v>3.2506258076108067E-2</v>
      </c>
      <c r="AO6" s="6">
        <f t="shared" si="24"/>
        <v>3.2506258076108067E-2</v>
      </c>
      <c r="AP6" s="6">
        <f t="shared" si="25"/>
        <v>0.14998594695645581</v>
      </c>
      <c r="AQ6" s="6">
        <f t="shared" si="26"/>
        <v>0.1507079204376959</v>
      </c>
      <c r="AR6" s="6">
        <f t="shared" si="27"/>
        <v>0.1507079204376959</v>
      </c>
      <c r="AS6" s="4">
        <f t="shared" si="28"/>
        <v>17.442445826132417</v>
      </c>
      <c r="AT6">
        <f t="shared" si="29"/>
        <v>10</v>
      </c>
      <c r="AU6">
        <f t="shared" si="30"/>
        <v>5.8985725021417738E-2</v>
      </c>
      <c r="AV6">
        <f t="shared" si="31"/>
        <v>0.58447933309661326</v>
      </c>
      <c r="AW6">
        <f t="shared" si="32"/>
        <v>8.5338093884449613</v>
      </c>
      <c r="AX6" s="6">
        <f t="shared" si="33"/>
        <v>1.4406301370260737</v>
      </c>
      <c r="AZ6">
        <v>24</v>
      </c>
      <c r="BA6">
        <f t="shared" si="34"/>
        <v>48</v>
      </c>
      <c r="BB6" s="8">
        <v>50000</v>
      </c>
      <c r="BC6" s="20">
        <f t="shared" si="35"/>
        <v>4129.6677982731917</v>
      </c>
      <c r="BD6" s="20">
        <f t="shared" si="36"/>
        <v>198224.05431711319</v>
      </c>
      <c r="BF6">
        <v>24</v>
      </c>
      <c r="BG6">
        <f t="shared" si="37"/>
        <v>41</v>
      </c>
      <c r="BH6">
        <f t="shared" si="38"/>
        <v>10</v>
      </c>
      <c r="BI6">
        <f t="shared" si="39"/>
        <v>1.5990510265884581E-2</v>
      </c>
      <c r="BJ6">
        <f t="shared" si="40"/>
        <v>1.5041996802357542E-2</v>
      </c>
      <c r="BK6">
        <f t="shared" si="41"/>
        <v>3.6460929821038085E-3</v>
      </c>
      <c r="BL6">
        <f t="shared" si="42"/>
        <v>1.1395903820253734E-2</v>
      </c>
      <c r="BM6">
        <f t="shared" si="43"/>
        <v>2.7386414086138317E-2</v>
      </c>
      <c r="BN6">
        <f t="shared" si="44"/>
        <v>0.58447933309661326</v>
      </c>
      <c r="BO6">
        <f t="shared" si="45"/>
        <v>0.37801632137707142</v>
      </c>
      <c r="BP6">
        <f t="shared" si="46"/>
        <v>8.5338093884449613</v>
      </c>
      <c r="BQ6">
        <f t="shared" si="47"/>
        <v>12.187900814957043</v>
      </c>
      <c r="BR6">
        <f t="shared" si="48"/>
        <v>0.81286107677604713</v>
      </c>
      <c r="BS6">
        <f t="shared" si="49"/>
        <v>0.18713892322395287</v>
      </c>
      <c r="BT6">
        <f t="shared" si="50"/>
        <v>4.8691111787194874E-2</v>
      </c>
      <c r="BU6">
        <f t="shared" si="51"/>
        <v>4.8691111787194874E-2</v>
      </c>
      <c r="BV6">
        <f t="shared" si="52"/>
        <v>8.3051168545124371E-2</v>
      </c>
      <c r="BW6">
        <f t="shared" si="53"/>
        <v>0.87374528721894473</v>
      </c>
      <c r="BX6">
        <f t="shared" si="54"/>
        <v>0.141977830805985</v>
      </c>
      <c r="BY6">
        <f t="shared" si="55"/>
        <v>0.29989397684137925</v>
      </c>
      <c r="BZ6">
        <f t="shared" si="56"/>
        <v>0.44187180764736422</v>
      </c>
      <c r="CA6">
        <f t="shared" si="57"/>
        <v>1.9712707817547597</v>
      </c>
      <c r="CB6">
        <f t="shared" si="58"/>
        <v>0.49902618832022805</v>
      </c>
      <c r="CC6" s="6">
        <f t="shared" si="59"/>
        <v>0.45642044624175071</v>
      </c>
      <c r="CE6">
        <v>24</v>
      </c>
      <c r="CF6">
        <f t="shared" si="60"/>
        <v>48</v>
      </c>
      <c r="CG6" s="20">
        <f t="shared" si="61"/>
        <v>50000</v>
      </c>
      <c r="CH6" s="20">
        <f t="shared" si="62"/>
        <v>4191.6128152472893</v>
      </c>
      <c r="CI6" s="20">
        <f t="shared" si="63"/>
        <v>201197.4151318699</v>
      </c>
      <c r="CJ6" s="20">
        <f t="shared" si="64"/>
        <v>72031.506851303682</v>
      </c>
      <c r="CK6" s="20">
        <f t="shared" si="65"/>
        <v>73111.979454073225</v>
      </c>
      <c r="CL6" s="20">
        <f t="shared" si="66"/>
        <v>-1080.4726027695433</v>
      </c>
      <c r="CM6" s="20">
        <f t="shared" si="67"/>
        <v>-51862.684932938078</v>
      </c>
      <c r="CN6" s="20">
        <f t="shared" si="68"/>
        <v>948000214.55371547</v>
      </c>
      <c r="CO6">
        <f t="shared" si="69"/>
        <v>30789.612120871472</v>
      </c>
      <c r="CP6" s="20">
        <f t="shared" si="70"/>
        <v>45504010298.578339</v>
      </c>
      <c r="CQ6">
        <f t="shared" si="71"/>
        <v>213316.6901547517</v>
      </c>
    </row>
    <row r="7" spans="1:95" x14ac:dyDescent="0.25">
      <c r="A7" s="3" t="s">
        <v>28</v>
      </c>
      <c r="B7">
        <v>65</v>
      </c>
      <c r="D7">
        <v>25</v>
      </c>
      <c r="E7" s="6">
        <f t="shared" si="6"/>
        <v>5.0406884113640693E-4</v>
      </c>
      <c r="F7" s="6">
        <f t="shared" si="7"/>
        <v>4.3079946896862342E-4</v>
      </c>
      <c r="G7" s="5">
        <f t="shared" si="8"/>
        <v>5.0563756661770043E-4</v>
      </c>
      <c r="I7">
        <v>23</v>
      </c>
      <c r="J7" s="9">
        <f t="shared" si="73"/>
        <v>99866.651552265379</v>
      </c>
      <c r="K7" s="9">
        <f t="shared" si="74"/>
        <v>99827.838470473711</v>
      </c>
      <c r="L7" s="9">
        <f t="shared" si="72"/>
        <v>99782.504249691716</v>
      </c>
      <c r="M7">
        <v>25</v>
      </c>
      <c r="O7">
        <v>25</v>
      </c>
      <c r="P7">
        <f t="shared" si="0"/>
        <v>8.5831276010744154E-2</v>
      </c>
      <c r="Q7">
        <f t="shared" si="1"/>
        <v>1.5472460779558005E-2</v>
      </c>
      <c r="R7">
        <f t="shared" si="2"/>
        <v>8.5745700680355363E-2</v>
      </c>
      <c r="S7" s="3">
        <f t="shared" si="3"/>
        <v>1.5385426804796111E-2</v>
      </c>
      <c r="T7">
        <f t="shared" si="4"/>
        <v>8.9640803455931242E-2</v>
      </c>
      <c r="U7">
        <f t="shared" si="5"/>
        <v>1.653875847168609E-2</v>
      </c>
      <c r="W7">
        <v>25</v>
      </c>
      <c r="X7" s="4">
        <f t="shared" ref="X7:X70" si="75">(1-VLOOKUP(W7,O7:U107,4))/($B$6/(1+$B$6))</f>
        <v>19.199340285712537</v>
      </c>
      <c r="Y7" s="4">
        <f t="shared" si="10"/>
        <v>19.117543127425446</v>
      </c>
      <c r="Z7" s="4">
        <f t="shared" si="11"/>
        <v>0.78138623550587982</v>
      </c>
      <c r="AA7" s="5">
        <f t="shared" si="12"/>
        <v>0.61223656163714257</v>
      </c>
      <c r="AB7" s="4">
        <f t="shared" si="13"/>
        <v>0.60985696120853561</v>
      </c>
      <c r="AC7">
        <f t="shared" si="14"/>
        <v>0.37439927125001282</v>
      </c>
      <c r="AD7">
        <f t="shared" si="15"/>
        <v>0.36921341148072645</v>
      </c>
      <c r="AE7">
        <f t="shared" si="16"/>
        <v>0.13915265172274741</v>
      </c>
      <c r="AG7">
        <v>25</v>
      </c>
      <c r="AH7">
        <f t="shared" si="17"/>
        <v>40</v>
      </c>
      <c r="AI7" s="6">
        <f t="shared" si="18"/>
        <v>0.12417177192409436</v>
      </c>
      <c r="AJ7" s="6">
        <f t="shared" si="19"/>
        <v>5.2834933451881894E-2</v>
      </c>
      <c r="AK7" s="6">
        <f t="shared" si="20"/>
        <v>5.40350680882771E-2</v>
      </c>
      <c r="AL7" s="6">
        <f t="shared" si="21"/>
        <v>5.40350680882771E-2</v>
      </c>
      <c r="AM7" s="6">
        <f t="shared" si="22"/>
        <v>3.291076722847347E-2</v>
      </c>
      <c r="AN7" s="6">
        <f t="shared" si="23"/>
        <v>3.3658328530830416E-2</v>
      </c>
      <c r="AO7" s="6">
        <f t="shared" si="24"/>
        <v>3.3658328530830416E-2</v>
      </c>
      <c r="AP7" s="6">
        <f t="shared" si="25"/>
        <v>0.15708253915256781</v>
      </c>
      <c r="AQ7" s="6">
        <f t="shared" si="26"/>
        <v>0.15783010045492477</v>
      </c>
      <c r="AR7" s="6">
        <f t="shared" si="27"/>
        <v>0.15783010045492477</v>
      </c>
      <c r="AS7" s="4">
        <f t="shared" si="28"/>
        <v>17.296173133728995</v>
      </c>
      <c r="AT7">
        <f t="shared" si="29"/>
        <v>10</v>
      </c>
      <c r="AU7">
        <f t="shared" si="30"/>
        <v>6.1964966040249495E-2</v>
      </c>
      <c r="AV7">
        <f t="shared" si="31"/>
        <v>0.58447933309661326</v>
      </c>
      <c r="AW7">
        <f t="shared" si="32"/>
        <v>8.5338093884449613</v>
      </c>
      <c r="AX7" s="6">
        <f t="shared" si="33"/>
        <v>1.5133932402283294</v>
      </c>
      <c r="AZ7">
        <v>25</v>
      </c>
      <c r="BA7">
        <f t="shared" si="34"/>
        <v>48</v>
      </c>
      <c r="BB7" s="8">
        <v>50000</v>
      </c>
      <c r="BC7" s="20">
        <f t="shared" si="35"/>
        <v>4374.9366652588742</v>
      </c>
      <c r="BD7" s="20">
        <f t="shared" si="36"/>
        <v>209996.95993242596</v>
      </c>
      <c r="BF7">
        <v>25</v>
      </c>
      <c r="BG7">
        <f t="shared" si="37"/>
        <v>40</v>
      </c>
      <c r="BH7">
        <f t="shared" si="38"/>
        <v>10</v>
      </c>
      <c r="BI7">
        <f t="shared" si="39"/>
        <v>1.7638064065392468E-2</v>
      </c>
      <c r="BJ7">
        <f t="shared" si="40"/>
        <v>1.6095488690857633E-2</v>
      </c>
      <c r="BK7">
        <f t="shared" si="41"/>
        <v>4.0217616909904953E-3</v>
      </c>
      <c r="BL7">
        <f t="shared" si="42"/>
        <v>1.2073726999867137E-2</v>
      </c>
      <c r="BM7">
        <f t="shared" si="43"/>
        <v>2.9711791065259605E-2</v>
      </c>
      <c r="BN7">
        <f t="shared" si="44"/>
        <v>0.58447933309661326</v>
      </c>
      <c r="BO7">
        <f t="shared" si="45"/>
        <v>0.37801632137707142</v>
      </c>
      <c r="BP7">
        <f t="shared" si="46"/>
        <v>8.5338093884449613</v>
      </c>
      <c r="BQ7">
        <f t="shared" si="47"/>
        <v>12.187900814957041</v>
      </c>
      <c r="BR7">
        <f t="shared" si="48"/>
        <v>0.81286107677604713</v>
      </c>
      <c r="BS7">
        <f t="shared" si="49"/>
        <v>0.18713892322395287</v>
      </c>
      <c r="BT7">
        <f t="shared" si="50"/>
        <v>4.8691111787194874E-2</v>
      </c>
      <c r="BU7">
        <f t="shared" si="51"/>
        <v>4.8691111787194874E-2</v>
      </c>
      <c r="BV7">
        <f t="shared" si="52"/>
        <v>8.7203726972380588E-2</v>
      </c>
      <c r="BW7">
        <f t="shared" si="53"/>
        <v>0.87416787271014063</v>
      </c>
      <c r="BX7">
        <f t="shared" si="54"/>
        <v>0.15660626421435112</v>
      </c>
      <c r="BY7">
        <f t="shared" si="55"/>
        <v>0.3296858266627144</v>
      </c>
      <c r="BZ7">
        <f t="shared" si="56"/>
        <v>0.48629209087706549</v>
      </c>
      <c r="CA7">
        <f t="shared" si="57"/>
        <v>2.025224020105536</v>
      </c>
      <c r="CB7">
        <f t="shared" si="58"/>
        <v>0.49902618832022805</v>
      </c>
      <c r="CC7" s="6">
        <f t="shared" si="59"/>
        <v>0.49060353849760574</v>
      </c>
      <c r="CE7">
        <v>25</v>
      </c>
      <c r="CF7">
        <f t="shared" si="60"/>
        <v>48</v>
      </c>
      <c r="CG7" s="20">
        <f t="shared" si="61"/>
        <v>50000</v>
      </c>
      <c r="CH7" s="20">
        <f t="shared" si="62"/>
        <v>4440.560715237757</v>
      </c>
      <c r="CI7" s="20">
        <f t="shared" si="63"/>
        <v>213146.91433141235</v>
      </c>
      <c r="CJ7" s="20">
        <f t="shared" si="64"/>
        <v>75669.662011416469</v>
      </c>
      <c r="CK7" s="20">
        <f t="shared" si="65"/>
        <v>76804.706941587705</v>
      </c>
      <c r="CL7" s="20">
        <f t="shared" si="66"/>
        <v>-1135.044930171236</v>
      </c>
      <c r="CM7" s="20">
        <f t="shared" si="67"/>
        <v>-54482.15664821933</v>
      </c>
      <c r="CN7" s="20">
        <f t="shared" si="68"/>
        <v>1037809287.9880748</v>
      </c>
      <c r="CO7">
        <f t="shared" si="69"/>
        <v>32215.04753974569</v>
      </c>
      <c r="CP7" s="20">
        <f t="shared" si="70"/>
        <v>49814845823.427589</v>
      </c>
      <c r="CQ7">
        <f t="shared" si="71"/>
        <v>223192.39642834518</v>
      </c>
    </row>
    <row r="8" spans="1:95" ht="18" x14ac:dyDescent="0.35">
      <c r="A8" s="1" t="s">
        <v>29</v>
      </c>
      <c r="B8">
        <v>12</v>
      </c>
      <c r="D8">
        <v>26</v>
      </c>
      <c r="E8" s="6">
        <f t="shared" si="6"/>
        <v>5.3247370473030742E-4</v>
      </c>
      <c r="F8" s="6">
        <f t="shared" si="7"/>
        <v>4.5508531721016876E-4</v>
      </c>
      <c r="G8" s="5">
        <f t="shared" si="8"/>
        <v>5.3531796754391348E-4</v>
      </c>
      <c r="I8">
        <v>24</v>
      </c>
      <c r="J8" s="9">
        <f t="shared" si="73"/>
        <v>99820.765975187751</v>
      </c>
      <c r="K8" s="9">
        <f t="shared" si="74"/>
        <v>99779.967140575231</v>
      </c>
      <c r="L8" s="9">
        <f t="shared" si="72"/>
        <v>99732.206998408888</v>
      </c>
      <c r="M8">
        <v>26</v>
      </c>
      <c r="O8">
        <v>26</v>
      </c>
      <c r="P8">
        <f t="shared" si="0"/>
        <v>8.9663967782476775E-2</v>
      </c>
      <c r="Q8">
        <f t="shared" si="1"/>
        <v>1.6562667893137317E-2</v>
      </c>
      <c r="R8">
        <f t="shared" si="2"/>
        <v>8.9573939052166471E-2</v>
      </c>
      <c r="S8" s="3">
        <f t="shared" si="3"/>
        <v>1.6470808930903701E-2</v>
      </c>
      <c r="T8">
        <f t="shared" si="4"/>
        <v>9.3640164951735314E-2</v>
      </c>
      <c r="U8">
        <f t="shared" si="5"/>
        <v>1.7712042019371987E-2</v>
      </c>
      <c r="W8">
        <v>26</v>
      </c>
      <c r="X8" s="4">
        <f t="shared" si="75"/>
        <v>19.118947279904503</v>
      </c>
      <c r="Y8" s="4">
        <f t="shared" si="10"/>
        <v>19.03355653601356</v>
      </c>
      <c r="Z8" s="4">
        <f t="shared" si="11"/>
        <v>0.78125511756918786</v>
      </c>
      <c r="AA8" s="5">
        <f t="shared" si="12"/>
        <v>0.61213382730285104</v>
      </c>
      <c r="AB8" s="4">
        <f t="shared" si="13"/>
        <v>0.60958426584066083</v>
      </c>
      <c r="AC8">
        <f t="shared" si="14"/>
        <v>0.3742318599494952</v>
      </c>
      <c r="AD8">
        <f t="shared" si="15"/>
        <v>0.36861501671718844</v>
      </c>
      <c r="AE8">
        <f t="shared" si="16"/>
        <v>0.13892712302976365</v>
      </c>
      <c r="AG8">
        <v>26</v>
      </c>
      <c r="AH8">
        <f t="shared" si="17"/>
        <v>39</v>
      </c>
      <c r="AI8" s="6">
        <f t="shared" si="18"/>
        <v>0.13044685640995565</v>
      </c>
      <c r="AJ8" s="6">
        <f t="shared" si="19"/>
        <v>5.550497404225125E-2</v>
      </c>
      <c r="AK8" s="6">
        <f t="shared" si="20"/>
        <v>5.67657581009837E-2</v>
      </c>
      <c r="AL8" s="6">
        <f t="shared" si="21"/>
        <v>5.67657581009837E-2</v>
      </c>
      <c r="AM8" s="6">
        <f t="shared" si="22"/>
        <v>3.4068965009915221E-2</v>
      </c>
      <c r="AN8" s="6">
        <f t="shared" si="23"/>
        <v>3.4842834536443018E-2</v>
      </c>
      <c r="AO8" s="6">
        <f t="shared" si="24"/>
        <v>3.4842834536443018E-2</v>
      </c>
      <c r="AP8" s="6">
        <f t="shared" si="25"/>
        <v>0.16451582141987087</v>
      </c>
      <c r="AQ8" s="6">
        <f t="shared" si="26"/>
        <v>0.16528969094639867</v>
      </c>
      <c r="AR8" s="6">
        <f t="shared" si="27"/>
        <v>0.16528969094639867</v>
      </c>
      <c r="AS8" s="4">
        <f t="shared" si="28"/>
        <v>17.142970830111938</v>
      </c>
      <c r="AT8">
        <f t="shared" si="29"/>
        <v>10</v>
      </c>
      <c r="AU8">
        <f t="shared" si="30"/>
        <v>6.5096397532616271E-2</v>
      </c>
      <c r="AV8">
        <f t="shared" si="31"/>
        <v>0.58447933309661326</v>
      </c>
      <c r="AW8">
        <f t="shared" si="32"/>
        <v>8.5338093884449613</v>
      </c>
      <c r="AX8" s="6">
        <f t="shared" si="33"/>
        <v>1.5898733475474829</v>
      </c>
      <c r="AZ8">
        <v>26</v>
      </c>
      <c r="BA8">
        <f t="shared" si="34"/>
        <v>48</v>
      </c>
      <c r="BB8" s="8">
        <v>50000</v>
      </c>
      <c r="BC8" s="20">
        <f t="shared" si="35"/>
        <v>4637.0998448963164</v>
      </c>
      <c r="BD8" s="20">
        <f t="shared" si="36"/>
        <v>222580.79255502319</v>
      </c>
      <c r="BF8">
        <v>26</v>
      </c>
      <c r="BG8">
        <f t="shared" si="37"/>
        <v>39</v>
      </c>
      <c r="BH8">
        <f t="shared" si="38"/>
        <v>10</v>
      </c>
      <c r="BI8">
        <f t="shared" si="39"/>
        <v>1.9455883358812445E-2</v>
      </c>
      <c r="BJ8">
        <f t="shared" si="40"/>
        <v>1.7230962926163076E-2</v>
      </c>
      <c r="BK8">
        <f t="shared" si="41"/>
        <v>4.4362536651842178E-3</v>
      </c>
      <c r="BL8">
        <f t="shared" si="42"/>
        <v>1.2794709260978858E-2</v>
      </c>
      <c r="BM8">
        <f t="shared" si="43"/>
        <v>3.2250592619791303E-2</v>
      </c>
      <c r="BN8">
        <f t="shared" si="44"/>
        <v>0.58447933309661326</v>
      </c>
      <c r="BO8">
        <f t="shared" si="45"/>
        <v>0.37801632137707142</v>
      </c>
      <c r="BP8">
        <f t="shared" si="46"/>
        <v>8.5338093884449613</v>
      </c>
      <c r="BQ8">
        <f t="shared" si="47"/>
        <v>12.187900814957043</v>
      </c>
      <c r="BR8">
        <f t="shared" si="48"/>
        <v>0.81286107677604713</v>
      </c>
      <c r="BS8">
        <f t="shared" si="49"/>
        <v>0.18713892322395287</v>
      </c>
      <c r="BT8">
        <f t="shared" si="50"/>
        <v>4.8691111787194874E-2</v>
      </c>
      <c r="BU8">
        <f t="shared" si="51"/>
        <v>4.8691111787194874E-2</v>
      </c>
      <c r="BV8">
        <f t="shared" si="52"/>
        <v>9.1563913320999626E-2</v>
      </c>
      <c r="BW8">
        <f t="shared" si="53"/>
        <v>0.87461371110307873</v>
      </c>
      <c r="BX8">
        <f t="shared" si="54"/>
        <v>0.17274646460730964</v>
      </c>
      <c r="BY8">
        <f t="shared" si="55"/>
        <v>0.36237549791244089</v>
      </c>
      <c r="BZ8">
        <f t="shared" si="56"/>
        <v>0.53512196251975053</v>
      </c>
      <c r="CA8">
        <f t="shared" si="57"/>
        <v>2.0794078022411755</v>
      </c>
      <c r="CB8">
        <f t="shared" si="58"/>
        <v>0.49902618832022805</v>
      </c>
      <c r="CC8" s="6">
        <f t="shared" si="59"/>
        <v>0.52706329088606907</v>
      </c>
      <c r="CE8">
        <v>26</v>
      </c>
      <c r="CF8">
        <f t="shared" si="60"/>
        <v>48</v>
      </c>
      <c r="CG8" s="20">
        <f t="shared" si="61"/>
        <v>50000</v>
      </c>
      <c r="CH8" s="20">
        <f t="shared" si="62"/>
        <v>4706.6563425697605</v>
      </c>
      <c r="CI8" s="20">
        <f t="shared" si="63"/>
        <v>225919.5044433485</v>
      </c>
      <c r="CJ8" s="20">
        <f t="shared" si="64"/>
        <v>79493.66737737415</v>
      </c>
      <c r="CK8" s="20">
        <f t="shared" si="65"/>
        <v>80686.07238803475</v>
      </c>
      <c r="CL8" s="20">
        <f t="shared" si="66"/>
        <v>-1192.405010660601</v>
      </c>
      <c r="CM8" s="20">
        <f t="shared" si="67"/>
        <v>-57235.440511708846</v>
      </c>
      <c r="CN8" s="20">
        <f t="shared" si="68"/>
        <v>1135798646.4408643</v>
      </c>
      <c r="CO8">
        <f t="shared" si="69"/>
        <v>33701.61192644744</v>
      </c>
      <c r="CP8" s="20">
        <f t="shared" si="70"/>
        <v>54518335029.161484</v>
      </c>
      <c r="CQ8">
        <f t="shared" si="71"/>
        <v>233491.61661430477</v>
      </c>
    </row>
    <row r="9" spans="1:95" ht="18" x14ac:dyDescent="0.35">
      <c r="A9" s="1" t="s">
        <v>30</v>
      </c>
      <c r="B9">
        <v>12</v>
      </c>
      <c r="D9">
        <v>27</v>
      </c>
      <c r="E9" s="6">
        <f t="shared" si="6"/>
        <v>5.6371812231859053E-4</v>
      </c>
      <c r="F9" s="6">
        <f t="shared" si="7"/>
        <v>4.8179906876111289E-4</v>
      </c>
      <c r="G9" s="5">
        <f t="shared" si="8"/>
        <v>5.6796539057935025E-4</v>
      </c>
      <c r="I9">
        <v>25</v>
      </c>
      <c r="J9" s="9">
        <f t="shared" si="73"/>
        <v>99772.511161967035</v>
      </c>
      <c r="K9" s="9">
        <f t="shared" si="74"/>
        <v>99729.529217140793</v>
      </c>
      <c r="L9" s="9">
        <f t="shared" si="72"/>
        <v>99679.102220667512</v>
      </c>
      <c r="M9">
        <v>27</v>
      </c>
      <c r="O9">
        <v>27</v>
      </c>
      <c r="P9">
        <f t="shared" si="0"/>
        <v>9.366456638553558E-2</v>
      </c>
      <c r="Q9">
        <f t="shared" si="1"/>
        <v>1.7737312299845848E-2</v>
      </c>
      <c r="R9">
        <f t="shared" si="2"/>
        <v>9.3569665105903074E-2</v>
      </c>
      <c r="S9" s="3">
        <f t="shared" si="3"/>
        <v>1.7640157382749024E-2</v>
      </c>
      <c r="T9">
        <f t="shared" si="4"/>
        <v>9.781347573395803E-2</v>
      </c>
      <c r="U9">
        <f t="shared" si="5"/>
        <v>1.8975616880261767E-2</v>
      </c>
      <c r="W9">
        <v>27</v>
      </c>
      <c r="X9" s="4">
        <f t="shared" si="75"/>
        <v>19.035037032776039</v>
      </c>
      <c r="Y9" s="4">
        <f t="shared" si="10"/>
        <v>18.945917009586882</v>
      </c>
      <c r="Z9" s="4">
        <f t="shared" si="11"/>
        <v>0.78111091325077764</v>
      </c>
      <c r="AA9" s="5">
        <f t="shared" si="12"/>
        <v>0.61202083944605878</v>
      </c>
      <c r="AB9" s="4">
        <f t="shared" si="13"/>
        <v>0.60928444176854946</v>
      </c>
      <c r="AC9">
        <f t="shared" si="14"/>
        <v>0.3740477939778955</v>
      </c>
      <c r="AD9">
        <f t="shared" si="15"/>
        <v>0.3679579025768222</v>
      </c>
      <c r="AE9">
        <f t="shared" si="16"/>
        <v>0.13867946362121247</v>
      </c>
      <c r="AG9">
        <v>27</v>
      </c>
      <c r="AH9">
        <f t="shared" si="17"/>
        <v>38</v>
      </c>
      <c r="AI9" s="6">
        <f t="shared" si="18"/>
        <v>0.13704302813297509</v>
      </c>
      <c r="AJ9" s="6">
        <f t="shared" si="19"/>
        <v>5.8311636849929939E-2</v>
      </c>
      <c r="AK9" s="6">
        <f t="shared" si="20"/>
        <v>5.9636173676539818E-2</v>
      </c>
      <c r="AL9" s="6">
        <f t="shared" si="21"/>
        <v>5.9636173676539818E-2</v>
      </c>
      <c r="AM9" s="6">
        <f t="shared" si="22"/>
        <v>3.5258028255973135E-2</v>
      </c>
      <c r="AN9" s="6">
        <f t="shared" si="23"/>
        <v>3.6058907109346366E-2</v>
      </c>
      <c r="AO9" s="6">
        <f t="shared" si="24"/>
        <v>3.6058907109346366E-2</v>
      </c>
      <c r="AP9" s="6">
        <f t="shared" si="25"/>
        <v>0.17230105638894821</v>
      </c>
      <c r="AQ9" s="6">
        <f t="shared" si="26"/>
        <v>0.17310193524232145</v>
      </c>
      <c r="AR9" s="6">
        <f t="shared" si="27"/>
        <v>0.17310193524232145</v>
      </c>
      <c r="AS9" s="4">
        <f t="shared" si="28"/>
        <v>16.982525853417503</v>
      </c>
      <c r="AT9">
        <f t="shared" si="29"/>
        <v>10</v>
      </c>
      <c r="AU9">
        <f t="shared" si="30"/>
        <v>6.838805996506031E-2</v>
      </c>
      <c r="AV9">
        <f t="shared" si="31"/>
        <v>0.58447933309661326</v>
      </c>
      <c r="AW9">
        <f t="shared" si="32"/>
        <v>8.5338093884449613</v>
      </c>
      <c r="AX9" s="6">
        <f t="shared" si="33"/>
        <v>1.6702668342660676</v>
      </c>
      <c r="AZ9">
        <v>27</v>
      </c>
      <c r="BA9">
        <f t="shared" si="34"/>
        <v>48</v>
      </c>
      <c r="BB9" s="8">
        <v>50000</v>
      </c>
      <c r="BC9" s="20">
        <f t="shared" si="35"/>
        <v>4917.6042736008822</v>
      </c>
      <c r="BD9" s="20">
        <f t="shared" si="36"/>
        <v>236045.00513284234</v>
      </c>
      <c r="BF9">
        <v>27</v>
      </c>
      <c r="BG9">
        <f t="shared" si="37"/>
        <v>38</v>
      </c>
      <c r="BH9">
        <f t="shared" si="38"/>
        <v>10</v>
      </c>
      <c r="BI9">
        <f t="shared" si="39"/>
        <v>2.1461673405298191E-2</v>
      </c>
      <c r="BJ9">
        <f t="shared" si="40"/>
        <v>1.8454278666515569E-2</v>
      </c>
      <c r="BK9">
        <f t="shared" si="41"/>
        <v>4.8936059879345498E-3</v>
      </c>
      <c r="BL9">
        <f t="shared" si="42"/>
        <v>1.3560672678581021E-2</v>
      </c>
      <c r="BM9">
        <f t="shared" si="43"/>
        <v>3.5022346083879212E-2</v>
      </c>
      <c r="BN9">
        <f t="shared" si="44"/>
        <v>0.58447933309661326</v>
      </c>
      <c r="BO9">
        <f t="shared" si="45"/>
        <v>0.37801632137707142</v>
      </c>
      <c r="BP9">
        <f t="shared" si="46"/>
        <v>8.5338093884449613</v>
      </c>
      <c r="BQ9">
        <f t="shared" si="47"/>
        <v>12.187900814957041</v>
      </c>
      <c r="BR9">
        <f t="shared" si="48"/>
        <v>0.81286107677604713</v>
      </c>
      <c r="BS9">
        <f t="shared" si="49"/>
        <v>0.18713892322395287</v>
      </c>
      <c r="BT9">
        <f t="shared" si="50"/>
        <v>4.8691111787194874E-2</v>
      </c>
      <c r="BU9">
        <f t="shared" si="51"/>
        <v>4.8691111787194874E-2</v>
      </c>
      <c r="BV9">
        <f t="shared" si="52"/>
        <v>9.6142108987049613E-2</v>
      </c>
      <c r="BW9">
        <f t="shared" si="53"/>
        <v>0.87508514388346959</v>
      </c>
      <c r="BX9">
        <f t="shared" si="54"/>
        <v>0.19055563486623806</v>
      </c>
      <c r="BY9">
        <f t="shared" si="55"/>
        <v>0.39823139608390334</v>
      </c>
      <c r="BZ9">
        <f t="shared" si="56"/>
        <v>0.5887870309501414</v>
      </c>
      <c r="CA9">
        <f t="shared" si="57"/>
        <v>2.1334630137477357</v>
      </c>
      <c r="CB9">
        <f t="shared" si="58"/>
        <v>0.49902618832022805</v>
      </c>
      <c r="CC9" s="6">
        <f t="shared" si="59"/>
        <v>0.56588715238563481</v>
      </c>
      <c r="CE9">
        <v>27</v>
      </c>
      <c r="CF9">
        <f t="shared" si="60"/>
        <v>48</v>
      </c>
      <c r="CG9" s="20">
        <f t="shared" si="61"/>
        <v>50000</v>
      </c>
      <c r="CH9" s="20">
        <f t="shared" si="62"/>
        <v>4991.3683377048947</v>
      </c>
      <c r="CI9" s="20">
        <f t="shared" si="63"/>
        <v>239585.68020983494</v>
      </c>
      <c r="CJ9" s="20">
        <f t="shared" si="64"/>
        <v>83513.34171330338</v>
      </c>
      <c r="CK9" s="20">
        <f t="shared" si="65"/>
        <v>84766.041839002923</v>
      </c>
      <c r="CL9" s="20">
        <f t="shared" si="66"/>
        <v>-1252.7001256995427</v>
      </c>
      <c r="CM9" s="20">
        <f t="shared" si="67"/>
        <v>-60129.606033578049</v>
      </c>
      <c r="CN9" s="20">
        <f t="shared" si="68"/>
        <v>1242665036.838274</v>
      </c>
      <c r="CO9">
        <f t="shared" si="69"/>
        <v>35251.454393234242</v>
      </c>
      <c r="CP9" s="20">
        <f t="shared" si="70"/>
        <v>59647921768.237152</v>
      </c>
      <c r="CQ9">
        <f t="shared" si="71"/>
        <v>244229.2401991153</v>
      </c>
    </row>
    <row r="10" spans="1:95" x14ac:dyDescent="0.25">
      <c r="A10" s="1" t="s">
        <v>43</v>
      </c>
      <c r="B10">
        <v>10</v>
      </c>
      <c r="D10">
        <v>28</v>
      </c>
      <c r="E10" s="6">
        <f t="shared" si="6"/>
        <v>5.9808585353948729E-4</v>
      </c>
      <c r="F10" s="6">
        <f t="shared" si="7"/>
        <v>5.1118337085620524E-4</v>
      </c>
      <c r="G10" s="5">
        <f t="shared" si="8"/>
        <v>6.038763241986711E-4</v>
      </c>
      <c r="I10">
        <v>26</v>
      </c>
      <c r="J10" s="9">
        <f t="shared" si="73"/>
        <v>99721.651661971613</v>
      </c>
      <c r="K10" s="9">
        <f t="shared" si="74"/>
        <v>99676.269802492301</v>
      </c>
      <c r="L10" s="9">
        <f t="shared" si="72"/>
        <v>99622.911304329275</v>
      </c>
      <c r="M10">
        <v>28</v>
      </c>
      <c r="O10">
        <v>28</v>
      </c>
      <c r="P10">
        <f t="shared" si="0"/>
        <v>9.7839230329704333E-2</v>
      </c>
      <c r="Q10">
        <f t="shared" si="1"/>
        <v>1.9002380674614936E-2</v>
      </c>
      <c r="R10">
        <f t="shared" si="2"/>
        <v>9.7739000146024962E-2</v>
      </c>
      <c r="S10" s="3">
        <f t="shared" si="3"/>
        <v>1.8899413922029443E-2</v>
      </c>
      <c r="T10">
        <f t="shared" si="4"/>
        <v>0.10216699285026545</v>
      </c>
      <c r="U10">
        <f t="shared" si="5"/>
        <v>2.0335815809055635E-2</v>
      </c>
      <c r="W10">
        <v>28</v>
      </c>
      <c r="X10" s="4">
        <f t="shared" si="75"/>
        <v>18.947480996933475</v>
      </c>
      <c r="Y10" s="4">
        <f t="shared" si="10"/>
        <v>18.854493150144428</v>
      </c>
      <c r="Z10" s="4">
        <f t="shared" si="11"/>
        <v>0.78095231924329445</v>
      </c>
      <c r="AA10" s="5">
        <f t="shared" si="12"/>
        <v>0.61189657689135069</v>
      </c>
      <c r="AB10" s="4">
        <f t="shared" si="13"/>
        <v>0.608954805612546</v>
      </c>
      <c r="AC10">
        <f t="shared" si="14"/>
        <v>0.37384542597287873</v>
      </c>
      <c r="AD10">
        <f t="shared" si="15"/>
        <v>0.36723642991952765</v>
      </c>
      <c r="AE10">
        <f t="shared" si="16"/>
        <v>0.13840754816449771</v>
      </c>
      <c r="AG10">
        <v>28</v>
      </c>
      <c r="AH10">
        <f t="shared" si="17"/>
        <v>37</v>
      </c>
      <c r="AI10" s="6">
        <f t="shared" si="18"/>
        <v>0.14397733264828405</v>
      </c>
      <c r="AJ10" s="6">
        <f t="shared" si="19"/>
        <v>6.1262174737280017E-2</v>
      </c>
      <c r="AK10" s="6">
        <f t="shared" si="20"/>
        <v>6.2653732424582956E-2</v>
      </c>
      <c r="AL10" s="6">
        <f t="shared" si="21"/>
        <v>6.2653732424582956E-2</v>
      </c>
      <c r="AM10" s="6">
        <f t="shared" si="22"/>
        <v>3.6476825408744945E-2</v>
      </c>
      <c r="AN10" s="6">
        <f t="shared" si="23"/>
        <v>3.7305388988533389E-2</v>
      </c>
      <c r="AO10" s="6">
        <f t="shared" si="24"/>
        <v>3.7305388988533389E-2</v>
      </c>
      <c r="AP10" s="6">
        <f t="shared" si="25"/>
        <v>0.180454158057029</v>
      </c>
      <c r="AQ10" s="6">
        <f t="shared" si="26"/>
        <v>0.18128272163681744</v>
      </c>
      <c r="AR10" s="6">
        <f t="shared" si="27"/>
        <v>0.18128272163681744</v>
      </c>
      <c r="AS10" s="4">
        <f t="shared" si="28"/>
        <v>16.81451189575208</v>
      </c>
      <c r="AT10">
        <f t="shared" si="29"/>
        <v>10</v>
      </c>
      <c r="AU10">
        <f t="shared" si="30"/>
        <v>7.1848459515986715E-2</v>
      </c>
      <c r="AV10">
        <f t="shared" si="31"/>
        <v>0.58447933309661326</v>
      </c>
      <c r="AW10">
        <f t="shared" si="32"/>
        <v>8.5338093884449613</v>
      </c>
      <c r="AX10" s="6">
        <f t="shared" si="33"/>
        <v>1.7547814499193626</v>
      </c>
      <c r="AZ10">
        <v>28</v>
      </c>
      <c r="BA10">
        <f t="shared" si="34"/>
        <v>48</v>
      </c>
      <c r="BB10" s="8">
        <v>50000</v>
      </c>
      <c r="BC10" s="20">
        <f t="shared" si="35"/>
        <v>5218.0564645551212</v>
      </c>
      <c r="BD10" s="20">
        <f t="shared" si="36"/>
        <v>250466.71029864583</v>
      </c>
      <c r="BF10">
        <v>28</v>
      </c>
      <c r="BG10">
        <f t="shared" si="37"/>
        <v>37</v>
      </c>
      <c r="BH10">
        <f t="shared" si="38"/>
        <v>10</v>
      </c>
      <c r="BI10">
        <f t="shared" si="39"/>
        <v>2.3675003827764479E-2</v>
      </c>
      <c r="BJ10">
        <f t="shared" si="40"/>
        <v>1.9771651895353022E-2</v>
      </c>
      <c r="BK10">
        <f t="shared" si="41"/>
        <v>5.3982808473509118E-3</v>
      </c>
      <c r="BL10">
        <f t="shared" si="42"/>
        <v>1.437337104800211E-2</v>
      </c>
      <c r="BM10">
        <f t="shared" si="43"/>
        <v>3.8048374875766587E-2</v>
      </c>
      <c r="BN10">
        <f t="shared" si="44"/>
        <v>0.58447933309661326</v>
      </c>
      <c r="BO10">
        <f t="shared" si="45"/>
        <v>0.37801632137707142</v>
      </c>
      <c r="BP10">
        <f t="shared" si="46"/>
        <v>8.5338093884449613</v>
      </c>
      <c r="BQ10">
        <f t="shared" si="47"/>
        <v>12.187900814957043</v>
      </c>
      <c r="BR10">
        <f t="shared" si="48"/>
        <v>0.81286107677604713</v>
      </c>
      <c r="BS10">
        <f t="shared" si="49"/>
        <v>0.18713892322395287</v>
      </c>
      <c r="BT10">
        <f t="shared" si="50"/>
        <v>4.8691111787194874E-2</v>
      </c>
      <c r="BU10">
        <f t="shared" si="51"/>
        <v>4.8691111787194874E-2</v>
      </c>
      <c r="BV10">
        <f t="shared" si="52"/>
        <v>0.10094921443640208</v>
      </c>
      <c r="BW10">
        <f t="shared" si="53"/>
        <v>0.8755847503688462</v>
      </c>
      <c r="BX10">
        <f t="shared" si="54"/>
        <v>0.21020753133567668</v>
      </c>
      <c r="BY10">
        <f t="shared" si="55"/>
        <v>0.43754376117997584</v>
      </c>
      <c r="BZ10">
        <f t="shared" si="56"/>
        <v>0.64775129251565255</v>
      </c>
      <c r="CA10">
        <f t="shared" si="57"/>
        <v>2.1869817873163719</v>
      </c>
      <c r="CB10">
        <f t="shared" si="58"/>
        <v>0.49902618832022805</v>
      </c>
      <c r="CC10" s="6">
        <f t="shared" si="59"/>
        <v>0.6071530837469048</v>
      </c>
      <c r="CE10">
        <v>28</v>
      </c>
      <c r="CF10">
        <f t="shared" si="60"/>
        <v>48</v>
      </c>
      <c r="CG10" s="20">
        <f t="shared" si="61"/>
        <v>50000</v>
      </c>
      <c r="CH10" s="20">
        <f t="shared" si="62"/>
        <v>5296.3273115234479</v>
      </c>
      <c r="CI10" s="20">
        <f t="shared" si="63"/>
        <v>254223.7109531255</v>
      </c>
      <c r="CJ10" s="20">
        <f t="shared" si="64"/>
        <v>87739.072495968125</v>
      </c>
      <c r="CK10" s="20">
        <f t="shared" si="65"/>
        <v>89055.15858340764</v>
      </c>
      <c r="CL10" s="20">
        <f t="shared" si="66"/>
        <v>-1316.0860874395148</v>
      </c>
      <c r="CM10" s="20">
        <f t="shared" si="67"/>
        <v>-63172.132197096711</v>
      </c>
      <c r="CN10" s="20">
        <f t="shared" si="68"/>
        <v>1359157292.9320459</v>
      </c>
      <c r="CO10">
        <f t="shared" si="69"/>
        <v>36866.750506819095</v>
      </c>
      <c r="CP10" s="20">
        <f t="shared" si="70"/>
        <v>65239550060.738205</v>
      </c>
      <c r="CQ10">
        <f t="shared" si="71"/>
        <v>255420.3399511053</v>
      </c>
    </row>
    <row r="11" spans="1:95" x14ac:dyDescent="0.25">
      <c r="A11" s="1" t="s">
        <v>77</v>
      </c>
      <c r="B11">
        <v>1.0149999999999999</v>
      </c>
      <c r="D11">
        <v>29</v>
      </c>
      <c r="E11" s="6">
        <f t="shared" si="6"/>
        <v>6.3588899289679368E-4</v>
      </c>
      <c r="F11" s="6">
        <f t="shared" si="7"/>
        <v>5.4350510541112396E-4</v>
      </c>
      <c r="G11" s="5">
        <f t="shared" si="8"/>
        <v>6.4337686085280676E-4</v>
      </c>
      <c r="I11">
        <v>27</v>
      </c>
      <c r="J11" s="9">
        <f t="shared" si="73"/>
        <v>99667.928826157571</v>
      </c>
      <c r="K11" s="9">
        <f t="shared" si="74"/>
        <v>99619.908910863771</v>
      </c>
      <c r="L11" s="9">
        <f t="shared" si="72"/>
        <v>99563.328250389735</v>
      </c>
      <c r="M11">
        <v>29</v>
      </c>
      <c r="O11">
        <v>29</v>
      </c>
      <c r="P11">
        <f t="shared" si="0"/>
        <v>0.10219422691408078</v>
      </c>
      <c r="Q11">
        <f t="shared" si="1"/>
        <v>2.0364218391161624E-2</v>
      </c>
      <c r="R11">
        <f t="shared" si="2"/>
        <v>0.1020881712580493</v>
      </c>
      <c r="S11" s="3">
        <f t="shared" si="3"/>
        <v>2.0254874914303424E-2</v>
      </c>
      <c r="T11">
        <f t="shared" si="4"/>
        <v>0.10670707055316975</v>
      </c>
      <c r="U11">
        <f t="shared" si="5"/>
        <v>2.1799342541574347E-2</v>
      </c>
      <c r="W11">
        <v>29</v>
      </c>
      <c r="X11" s="4">
        <f t="shared" si="75"/>
        <v>18.856148403580967</v>
      </c>
      <c r="Y11" s="4">
        <f t="shared" si="10"/>
        <v>18.759151518383437</v>
      </c>
      <c r="Z11" s="4">
        <f t="shared" si="11"/>
        <v>0.78077790302623684</v>
      </c>
      <c r="AA11" s="5">
        <f t="shared" si="12"/>
        <v>0.61175991722142964</v>
      </c>
      <c r="AB11" s="4">
        <f t="shared" si="13"/>
        <v>0.60859241182032131</v>
      </c>
      <c r="AC11">
        <f t="shared" si="14"/>
        <v>0.37362294762083109</v>
      </c>
      <c r="AD11">
        <f t="shared" si="15"/>
        <v>0.36644444378263336</v>
      </c>
      <c r="AE11">
        <f t="shared" si="16"/>
        <v>0.13810905691892103</v>
      </c>
      <c r="AG11">
        <v>29</v>
      </c>
      <c r="AH11">
        <f t="shared" si="17"/>
        <v>36</v>
      </c>
      <c r="AI11" s="6">
        <f t="shared" si="18"/>
        <v>0.15126781507550655</v>
      </c>
      <c r="AJ11" s="6">
        <f t="shared" si="19"/>
        <v>6.4364265880103369E-2</v>
      </c>
      <c r="AK11" s="6">
        <f t="shared" si="20"/>
        <v>6.582628692909763E-2</v>
      </c>
      <c r="AL11" s="6">
        <f t="shared" si="21"/>
        <v>6.582628692909763E-2</v>
      </c>
      <c r="AM11" s="6">
        <f t="shared" si="22"/>
        <v>3.7723905377945927E-2</v>
      </c>
      <c r="AN11" s="6">
        <f t="shared" si="23"/>
        <v>3.8580796122502273E-2</v>
      </c>
      <c r="AO11" s="6">
        <f t="shared" si="24"/>
        <v>3.8580796122502273E-2</v>
      </c>
      <c r="AP11" s="6">
        <f t="shared" si="25"/>
        <v>0.18899172045345247</v>
      </c>
      <c r="AQ11" s="6">
        <f t="shared" si="26"/>
        <v>0.18984861119800883</v>
      </c>
      <c r="AR11" s="6">
        <f t="shared" si="27"/>
        <v>0.18984861119800883</v>
      </c>
      <c r="AS11" s="4">
        <f t="shared" si="28"/>
        <v>16.638588832039165</v>
      </c>
      <c r="AT11">
        <f t="shared" si="29"/>
        <v>10</v>
      </c>
      <c r="AU11">
        <f t="shared" si="30"/>
        <v>7.5486601172659165E-2</v>
      </c>
      <c r="AV11">
        <f t="shared" si="31"/>
        <v>0.58447933309661326</v>
      </c>
      <c r="AW11">
        <f t="shared" si="32"/>
        <v>8.5338093884449613</v>
      </c>
      <c r="AX11" s="6">
        <f t="shared" si="33"/>
        <v>1.8436371266355376</v>
      </c>
      <c r="AZ11">
        <v>29</v>
      </c>
      <c r="BA11">
        <f t="shared" si="34"/>
        <v>48</v>
      </c>
      <c r="BB11" s="8">
        <v>50000</v>
      </c>
      <c r="BC11" s="20">
        <f t="shared" si="35"/>
        <v>5540.2448646529483</v>
      </c>
      <c r="BD11" s="20">
        <f t="shared" si="36"/>
        <v>265931.75350334152</v>
      </c>
      <c r="BF11">
        <v>29</v>
      </c>
      <c r="BG11">
        <f t="shared" si="37"/>
        <v>36</v>
      </c>
      <c r="BH11">
        <f t="shared" si="38"/>
        <v>10</v>
      </c>
      <c r="BI11">
        <f t="shared" si="39"/>
        <v>2.6117509866380437E-2</v>
      </c>
      <c r="BJ11">
        <f t="shared" si="40"/>
        <v>2.1189669565505893E-2</v>
      </c>
      <c r="BK11">
        <f t="shared" si="41"/>
        <v>5.9552114254290698E-3</v>
      </c>
      <c r="BL11">
        <f t="shared" si="42"/>
        <v>1.5234458140076824E-2</v>
      </c>
      <c r="BM11">
        <f t="shared" si="43"/>
        <v>4.1351968006457261E-2</v>
      </c>
      <c r="BN11">
        <f t="shared" si="44"/>
        <v>0.58447933309661326</v>
      </c>
      <c r="BO11">
        <f t="shared" si="45"/>
        <v>0.37801632137707142</v>
      </c>
      <c r="BP11">
        <f t="shared" si="46"/>
        <v>8.5338093884449613</v>
      </c>
      <c r="BQ11">
        <f t="shared" si="47"/>
        <v>12.187900814957043</v>
      </c>
      <c r="BR11">
        <f t="shared" si="48"/>
        <v>0.81286107677604713</v>
      </c>
      <c r="BS11">
        <f t="shared" si="49"/>
        <v>0.18713892322395287</v>
      </c>
      <c r="BT11">
        <f t="shared" si="50"/>
        <v>4.8691111787194874E-2</v>
      </c>
      <c r="BU11">
        <f t="shared" si="51"/>
        <v>4.8691111787194874E-2</v>
      </c>
      <c r="BV11">
        <f t="shared" si="52"/>
        <v>0.10599667515822221</v>
      </c>
      <c r="BW11">
        <f t="shared" si="53"/>
        <v>0.87611537220752678</v>
      </c>
      <c r="BX11">
        <f t="shared" si="54"/>
        <v>0.23189425072905751</v>
      </c>
      <c r="BY11">
        <f t="shared" si="55"/>
        <v>0.48062572288514721</v>
      </c>
      <c r="BZ11">
        <f t="shared" si="56"/>
        <v>0.71251997361420472</v>
      </c>
      <c r="CA11">
        <f t="shared" si="57"/>
        <v>2.239504919210582</v>
      </c>
      <c r="CB11">
        <f t="shared" si="58"/>
        <v>0.49902618832022805</v>
      </c>
      <c r="CC11" s="6">
        <f t="shared" si="59"/>
        <v>0.65092636204853349</v>
      </c>
      <c r="CE11">
        <v>29</v>
      </c>
      <c r="CF11">
        <f t="shared" si="60"/>
        <v>48</v>
      </c>
      <c r="CG11" s="20">
        <f t="shared" si="61"/>
        <v>50000</v>
      </c>
      <c r="CH11" s="20">
        <f t="shared" si="62"/>
        <v>5623.3485376227418</v>
      </c>
      <c r="CI11" s="20">
        <f t="shared" si="63"/>
        <v>269920.72980589163</v>
      </c>
      <c r="CJ11" s="20">
        <f t="shared" si="64"/>
        <v>92181.856331776886</v>
      </c>
      <c r="CK11" s="20">
        <f t="shared" si="65"/>
        <v>93564.584176753517</v>
      </c>
      <c r="CL11" s="20">
        <f t="shared" si="66"/>
        <v>-1382.7278449766309</v>
      </c>
      <c r="CM11" s="20">
        <f t="shared" si="67"/>
        <v>-66370.936558878282</v>
      </c>
      <c r="CN11" s="20">
        <f t="shared" si="68"/>
        <v>1486079087.2113774</v>
      </c>
      <c r="CO11">
        <f t="shared" si="69"/>
        <v>38549.696330987841</v>
      </c>
      <c r="CP11" s="20">
        <f t="shared" si="70"/>
        <v>71331796186.146118</v>
      </c>
      <c r="CQ11">
        <f t="shared" si="71"/>
        <v>267080.13064648991</v>
      </c>
    </row>
    <row r="12" spans="1:95" x14ac:dyDescent="0.25">
      <c r="D12">
        <v>30</v>
      </c>
      <c r="E12" s="6">
        <f t="shared" si="6"/>
        <v>6.7747079461977222E-4</v>
      </c>
      <c r="F12" s="6">
        <f t="shared" si="7"/>
        <v>5.7905780618350278E-4</v>
      </c>
      <c r="G12" s="5">
        <f t="shared" si="8"/>
        <v>6.8682564794808609E-4</v>
      </c>
      <c r="I12">
        <v>28</v>
      </c>
      <c r="J12" s="9">
        <f t="shared" si="73"/>
        <v>99611.058553343159</v>
      </c>
      <c r="K12" s="9">
        <f t="shared" si="74"/>
        <v>99560.139036657303</v>
      </c>
      <c r="L12" s="9">
        <f t="shared" si="72"/>
        <v>99500.017025859139</v>
      </c>
      <c r="M12">
        <v>30</v>
      </c>
      <c r="O12">
        <v>30</v>
      </c>
      <c r="P12">
        <f t="shared" si="0"/>
        <v>0.106735921464494</v>
      </c>
      <c r="Q12">
        <f t="shared" si="1"/>
        <v>2.1829542949440416E-2</v>
      </c>
      <c r="R12">
        <f t="shared" si="2"/>
        <v>0.10662350034478144</v>
      </c>
      <c r="S12" s="3">
        <f t="shared" si="3"/>
        <v>2.1713204416087647E-2</v>
      </c>
      <c r="T12">
        <f t="shared" si="4"/>
        <v>0.11144014784336795</v>
      </c>
      <c r="U12">
        <f t="shared" si="5"/>
        <v>2.33732845454253E-2</v>
      </c>
      <c r="W12">
        <v>30</v>
      </c>
      <c r="X12" s="4">
        <f t="shared" si="75"/>
        <v>18.760906492759592</v>
      </c>
      <c r="Y12" s="4">
        <f t="shared" si="10"/>
        <v>18.659756895289274</v>
      </c>
      <c r="Z12" s="4">
        <f t="shared" si="11"/>
        <v>0.78058609017871317</v>
      </c>
      <c r="AA12" s="5">
        <f t="shared" si="12"/>
        <v>0.61160962683632991</v>
      </c>
      <c r="AB12" s="4">
        <f t="shared" si="13"/>
        <v>0.60819402773515319</v>
      </c>
      <c r="AC12">
        <f t="shared" si="14"/>
        <v>0.37337837435094667</v>
      </c>
      <c r="AD12">
        <f t="shared" si="15"/>
        <v>0.36557523163714384</v>
      </c>
      <c r="AE12">
        <f t="shared" si="16"/>
        <v>0.13778146000290056</v>
      </c>
      <c r="AG12">
        <v>30</v>
      </c>
      <c r="AH12">
        <f t="shared" si="17"/>
        <v>35</v>
      </c>
      <c r="AI12" s="6">
        <f t="shared" si="18"/>
        <v>0.15893359282923453</v>
      </c>
      <c r="AJ12" s="6">
        <f t="shared" si="19"/>
        <v>6.7626044714367908E-2</v>
      </c>
      <c r="AK12" s="6">
        <f t="shared" si="20"/>
        <v>6.916215639809016E-2</v>
      </c>
      <c r="AL12" s="6">
        <f t="shared" si="21"/>
        <v>6.916215639809016E-2</v>
      </c>
      <c r="AM12" s="6">
        <f t="shared" si="22"/>
        <v>3.8997455630413527E-2</v>
      </c>
      <c r="AN12" s="6">
        <f t="shared" si="23"/>
        <v>3.9883274806772825E-2</v>
      </c>
      <c r="AO12" s="6">
        <f t="shared" si="24"/>
        <v>3.9883274806772825E-2</v>
      </c>
      <c r="AP12" s="6">
        <f t="shared" si="25"/>
        <v>0.19793104845964804</v>
      </c>
      <c r="AQ12" s="6">
        <f t="shared" si="26"/>
        <v>0.19881686763600737</v>
      </c>
      <c r="AR12" s="6">
        <f t="shared" si="27"/>
        <v>0.19881686763600737</v>
      </c>
      <c r="AS12" s="23">
        <f t="shared" si="28"/>
        <v>16.454402106601584</v>
      </c>
      <c r="AT12">
        <f t="shared" si="29"/>
        <v>10</v>
      </c>
      <c r="AU12">
        <f t="shared" si="30"/>
        <v>7.9312025025612021E-2</v>
      </c>
      <c r="AV12">
        <f t="shared" si="31"/>
        <v>0.58447933309661326</v>
      </c>
      <c r="AW12">
        <f t="shared" si="32"/>
        <v>8.5338093884449613</v>
      </c>
      <c r="AX12" s="22">
        <f t="shared" si="33"/>
        <v>1.9370668655674783</v>
      </c>
      <c r="AZ12">
        <v>30</v>
      </c>
      <c r="BA12">
        <f t="shared" si="34"/>
        <v>48</v>
      </c>
      <c r="BB12" s="8">
        <v>50000</v>
      </c>
      <c r="BC12" s="21">
        <f>BB12*AX12/AS12</f>
        <v>5886.1660637013292</v>
      </c>
      <c r="BD12" s="20">
        <f t="shared" si="36"/>
        <v>282535.97105766379</v>
      </c>
      <c r="BF12">
        <v>30</v>
      </c>
      <c r="BG12">
        <f t="shared" si="37"/>
        <v>35</v>
      </c>
      <c r="BH12">
        <f t="shared" si="38"/>
        <v>10</v>
      </c>
      <c r="BI12">
        <f t="shared" si="39"/>
        <v>2.8813116396122239E-2</v>
      </c>
      <c r="BJ12">
        <f t="shared" si="40"/>
        <v>2.2715303290284653E-2</v>
      </c>
      <c r="BK12">
        <f t="shared" si="41"/>
        <v>6.5698529776485465E-3</v>
      </c>
      <c r="BL12">
        <f t="shared" si="42"/>
        <v>1.6145450312636107E-2</v>
      </c>
      <c r="BM12">
        <f t="shared" si="43"/>
        <v>4.4958566708758349E-2</v>
      </c>
      <c r="BN12">
        <f t="shared" si="44"/>
        <v>0.58447933309661326</v>
      </c>
      <c r="BO12">
        <f t="shared" si="45"/>
        <v>0.37801632137707142</v>
      </c>
      <c r="BP12">
        <f t="shared" si="46"/>
        <v>8.5338093884449613</v>
      </c>
      <c r="BQ12">
        <f t="shared" si="47"/>
        <v>12.187900814957043</v>
      </c>
      <c r="BR12">
        <f t="shared" si="48"/>
        <v>0.81286107677604713</v>
      </c>
      <c r="BS12">
        <f t="shared" si="49"/>
        <v>0.18713892322395287</v>
      </c>
      <c r="BT12">
        <f t="shared" si="50"/>
        <v>4.8691111787194874E-2</v>
      </c>
      <c r="BU12">
        <f t="shared" si="51"/>
        <v>4.8691111787194874E-2</v>
      </c>
      <c r="BV12">
        <f t="shared" si="52"/>
        <v>0.1112965089161333</v>
      </c>
      <c r="BW12">
        <f t="shared" si="53"/>
        <v>0.87668014047270737</v>
      </c>
      <c r="BX12">
        <f t="shared" si="54"/>
        <v>0.25582821915379922</v>
      </c>
      <c r="BY12">
        <f t="shared" si="55"/>
        <v>0.5278142091421989</v>
      </c>
      <c r="BZ12">
        <f t="shared" si="56"/>
        <v>0.78364242829599817</v>
      </c>
      <c r="CA12">
        <f t="shared" si="57"/>
        <v>2.290519672222191</v>
      </c>
      <c r="CB12">
        <f t="shared" si="58"/>
        <v>0.49902618832022805</v>
      </c>
      <c r="CC12" s="6">
        <f t="shared" si="59"/>
        <v>0.69725583503318234</v>
      </c>
      <c r="CE12">
        <v>30</v>
      </c>
      <c r="CF12">
        <f t="shared" si="60"/>
        <v>48</v>
      </c>
      <c r="CG12" s="20">
        <f t="shared" si="61"/>
        <v>50000</v>
      </c>
      <c r="CH12" s="20">
        <f t="shared" si="62"/>
        <v>5974.4585546568487</v>
      </c>
      <c r="CI12" s="20">
        <f t="shared" si="63"/>
        <v>286774.01062352874</v>
      </c>
      <c r="CJ12" s="20">
        <f t="shared" si="64"/>
        <v>96853.343278373912</v>
      </c>
      <c r="CK12" s="20">
        <f t="shared" si="65"/>
        <v>98306.143427549512</v>
      </c>
      <c r="CL12" s="20">
        <f t="shared" si="66"/>
        <v>-1452.8001491756004</v>
      </c>
      <c r="CM12" s="20">
        <f t="shared" si="67"/>
        <v>-69734.407160428818</v>
      </c>
      <c r="CN12" s="20">
        <f t="shared" si="68"/>
        <v>1624291626.1598201</v>
      </c>
      <c r="CO12">
        <f t="shared" si="69"/>
        <v>40302.501487622576</v>
      </c>
      <c r="CP12" s="20">
        <f t="shared" si="70"/>
        <v>77965998055.671356</v>
      </c>
      <c r="CQ12">
        <f t="shared" si="71"/>
        <v>279223.92099473026</v>
      </c>
    </row>
    <row r="13" spans="1:95" x14ac:dyDescent="0.25">
      <c r="D13">
        <v>31</v>
      </c>
      <c r="E13" s="6">
        <f t="shared" si="6"/>
        <v>7.232087781987584E-4</v>
      </c>
      <c r="F13" s="6">
        <f t="shared" si="7"/>
        <v>6.1816431632732982E-4</v>
      </c>
      <c r="G13" s="5">
        <f t="shared" si="8"/>
        <v>7.3461713194666878E-4</v>
      </c>
      <c r="I13">
        <v>29</v>
      </c>
      <c r="J13" s="9">
        <f t="shared" si="73"/>
        <v>99550.72882426955</v>
      </c>
      <c r="K13" s="9">
        <f t="shared" si="74"/>
        <v>99496.622494906173</v>
      </c>
      <c r="L13" s="9">
        <f t="shared" si="72"/>
        <v>99432.608670259942</v>
      </c>
      <c r="M13">
        <v>31</v>
      </c>
      <c r="O13">
        <v>31</v>
      </c>
      <c r="P13">
        <f t="shared" si="0"/>
        <v>0.11147076493079347</v>
      </c>
      <c r="Q13">
        <f t="shared" si="1"/>
        <v>2.3405456820568958E-2</v>
      </c>
      <c r="R13">
        <f t="shared" si="2"/>
        <v>0.11135139151531553</v>
      </c>
      <c r="S13" s="3">
        <f t="shared" si="3"/>
        <v>2.3281446656907342E-2</v>
      </c>
      <c r="T13">
        <f t="shared" si="4"/>
        <v>0.1163727342464586</v>
      </c>
      <c r="U13">
        <f t="shared" si="5"/>
        <v>2.5065124988765355E-2</v>
      </c>
      <c r="W13">
        <v>31</v>
      </c>
      <c r="X13" s="4">
        <f t="shared" si="75"/>
        <v>18.661620778178374</v>
      </c>
      <c r="Y13" s="4">
        <f t="shared" si="10"/>
        <v>18.55617258082437</v>
      </c>
      <c r="Z13" s="4">
        <f t="shared" si="11"/>
        <v>0.7803751504724219</v>
      </c>
      <c r="AA13" s="5">
        <f t="shared" si="12"/>
        <v>0.61144435005690367</v>
      </c>
      <c r="AB13" s="4">
        <f t="shared" si="13"/>
        <v>0.60775610643797795</v>
      </c>
      <c r="AC13">
        <f t="shared" si="14"/>
        <v>0.37310952866260305</v>
      </c>
      <c r="AD13">
        <f t="shared" si="15"/>
        <v>0.36462147945069595</v>
      </c>
      <c r="AE13">
        <f t="shared" si="16"/>
        <v>0.13742200083456119</v>
      </c>
      <c r="AG13">
        <v>31</v>
      </c>
      <c r="AH13">
        <f t="shared" si="17"/>
        <v>34</v>
      </c>
      <c r="AI13" s="6">
        <f t="shared" si="18"/>
        <v>0.16699493557168421</v>
      </c>
      <c r="AJ13" s="6">
        <f t="shared" si="19"/>
        <v>7.105613595596269E-2</v>
      </c>
      <c r="AK13" s="6">
        <f t="shared" si="20"/>
        <v>7.2670161456095506E-2</v>
      </c>
      <c r="AL13" s="6">
        <f t="shared" si="21"/>
        <v>7.2670161456095506E-2</v>
      </c>
      <c r="AM13" s="6">
        <f t="shared" si="22"/>
        <v>4.0295255559352844E-2</v>
      </c>
      <c r="AN13" s="6">
        <f t="shared" si="23"/>
        <v>4.1210553993923947E-2</v>
      </c>
      <c r="AO13" s="6">
        <f t="shared" si="24"/>
        <v>4.1210553993923947E-2</v>
      </c>
      <c r="AP13" s="6">
        <f t="shared" si="25"/>
        <v>0.20729019113103705</v>
      </c>
      <c r="AQ13" s="6">
        <f t="shared" si="26"/>
        <v>0.20820548956560817</v>
      </c>
      <c r="AR13" s="6">
        <f t="shared" si="27"/>
        <v>0.20820548956560817</v>
      </c>
      <c r="AS13" s="4">
        <f t="shared" si="28"/>
        <v>16.26158207056228</v>
      </c>
      <c r="AT13">
        <f t="shared" si="29"/>
        <v>10</v>
      </c>
      <c r="AU13">
        <f t="shared" si="30"/>
        <v>8.3334846167119642E-2</v>
      </c>
      <c r="AV13">
        <f t="shared" si="31"/>
        <v>0.58447933309661326</v>
      </c>
      <c r="AW13">
        <f t="shared" si="32"/>
        <v>8.5338093884449613</v>
      </c>
      <c r="AX13" s="6">
        <f t="shared" si="33"/>
        <v>2.0353177113478287</v>
      </c>
      <c r="AZ13">
        <v>31</v>
      </c>
      <c r="BA13">
        <f t="shared" si="34"/>
        <v>48</v>
      </c>
      <c r="BB13" s="8">
        <v>50000</v>
      </c>
      <c r="BC13" s="20">
        <f t="shared" si="35"/>
        <v>6258.0556507853144</v>
      </c>
      <c r="BD13" s="20">
        <f t="shared" si="36"/>
        <v>300386.67123769509</v>
      </c>
      <c r="BF13">
        <v>31</v>
      </c>
      <c r="BG13">
        <f t="shared" si="37"/>
        <v>34</v>
      </c>
      <c r="BH13">
        <f t="shared" si="38"/>
        <v>10</v>
      </c>
      <c r="BI13">
        <f t="shared" si="39"/>
        <v>3.1788287498337169E-2</v>
      </c>
      <c r="BJ13">
        <f t="shared" si="40"/>
        <v>2.4355922401596532E-2</v>
      </c>
      <c r="BK13">
        <f t="shared" si="41"/>
        <v>7.2482397392947566E-3</v>
      </c>
      <c r="BL13">
        <f t="shared" si="42"/>
        <v>1.7107682662301775E-2</v>
      </c>
      <c r="BM13">
        <f t="shared" si="43"/>
        <v>4.8895970160638944E-2</v>
      </c>
      <c r="BN13">
        <f t="shared" si="44"/>
        <v>0.58447933309661326</v>
      </c>
      <c r="BO13">
        <f t="shared" si="45"/>
        <v>0.37801632137707142</v>
      </c>
      <c r="BP13">
        <f t="shared" si="46"/>
        <v>8.5338093884449613</v>
      </c>
      <c r="BQ13">
        <f t="shared" si="47"/>
        <v>12.187900814957043</v>
      </c>
      <c r="BR13">
        <f t="shared" si="48"/>
        <v>0.81286107677604713</v>
      </c>
      <c r="BS13">
        <f t="shared" si="49"/>
        <v>0.18713892322395287</v>
      </c>
      <c r="BT13">
        <f t="shared" si="50"/>
        <v>4.8691111787194874E-2</v>
      </c>
      <c r="BU13">
        <f t="shared" si="51"/>
        <v>4.8691111787194874E-2</v>
      </c>
      <c r="BV13">
        <f t="shared" si="52"/>
        <v>0.11686133436193999</v>
      </c>
      <c r="BW13">
        <f t="shared" si="53"/>
        <v>0.87728250564141697</v>
      </c>
      <c r="BX13">
        <f t="shared" si="54"/>
        <v>0.28224440802741674</v>
      </c>
      <c r="BY13">
        <f t="shared" si="55"/>
        <v>0.57947063673016352</v>
      </c>
      <c r="BZ13">
        <f t="shared" si="56"/>
        <v>0.86171504475758032</v>
      </c>
      <c r="CA13">
        <f t="shared" si="57"/>
        <v>2.339458102597332</v>
      </c>
      <c r="CB13">
        <f t="shared" si="58"/>
        <v>0.49902618832022805</v>
      </c>
      <c r="CC13" s="6">
        <f t="shared" si="59"/>
        <v>0.74616955892164327</v>
      </c>
      <c r="CE13">
        <v>31</v>
      </c>
      <c r="CF13">
        <f t="shared" si="60"/>
        <v>48</v>
      </c>
      <c r="CG13" s="20">
        <f t="shared" si="61"/>
        <v>50000</v>
      </c>
      <c r="CH13" s="20">
        <f t="shared" si="62"/>
        <v>6351.9264855470938</v>
      </c>
      <c r="CI13" s="20">
        <f t="shared" si="63"/>
        <v>304892.4713062605</v>
      </c>
      <c r="CJ13" s="20">
        <f t="shared" si="64"/>
        <v>101765.88556739144</v>
      </c>
      <c r="CK13" s="20">
        <f t="shared" si="65"/>
        <v>103292.3738509023</v>
      </c>
      <c r="CL13" s="20">
        <f t="shared" si="66"/>
        <v>-1526.4882835108583</v>
      </c>
      <c r="CM13" s="20">
        <f t="shared" si="67"/>
        <v>-73271.437608521199</v>
      </c>
      <c r="CN13" s="20">
        <f t="shared" si="68"/>
        <v>1774716239.5553617</v>
      </c>
      <c r="CO13">
        <f t="shared" si="69"/>
        <v>42127.381114369804</v>
      </c>
      <c r="CP13" s="20">
        <f t="shared" si="70"/>
        <v>85186379498.657364</v>
      </c>
      <c r="CQ13">
        <f t="shared" si="71"/>
        <v>291867.05791962438</v>
      </c>
    </row>
    <row r="14" spans="1:95" x14ac:dyDescent="0.25">
      <c r="D14">
        <v>32</v>
      </c>
      <c r="E14" s="6">
        <f t="shared" si="6"/>
        <v>7.7351814228376892E-4</v>
      </c>
      <c r="F14" s="6">
        <f t="shared" si="7"/>
        <v>6.6117971010082321E-4</v>
      </c>
      <c r="G14" s="5">
        <f t="shared" si="8"/>
        <v>7.871851244862782E-4</v>
      </c>
      <c r="I14">
        <v>30</v>
      </c>
      <c r="J14" s="9">
        <f t="shared" si="73"/>
        <v>99486.597004897878</v>
      </c>
      <c r="K14" s="9">
        <f t="shared" si="74"/>
        <v>99428.988514291559</v>
      </c>
      <c r="L14" s="9">
        <f t="shared" si="72"/>
        <v>99360.698134830411</v>
      </c>
      <c r="M14">
        <v>32</v>
      </c>
      <c r="O14">
        <v>32</v>
      </c>
      <c r="P14">
        <f t="shared" si="0"/>
        <v>0.11640527971925603</v>
      </c>
      <c r="Q14">
        <f t="shared" si="1"/>
        <v>2.5099459515928485E-2</v>
      </c>
      <c r="R14">
        <f t="shared" si="2"/>
        <v>0.11627831670288409</v>
      </c>
      <c r="S14" s="3">
        <f t="shared" si="3"/>
        <v>2.4967037722549979E-2</v>
      </c>
      <c r="T14">
        <f t="shared" si="4"/>
        <v>0.12151139369598533</v>
      </c>
      <c r="U14">
        <f t="shared" si="5"/>
        <v>2.6882753710315427E-2</v>
      </c>
      <c r="W14">
        <v>32</v>
      </c>
      <c r="X14" s="4">
        <f t="shared" si="75"/>
        <v>18.558155349239435</v>
      </c>
      <c r="Y14" s="4">
        <f t="shared" si="10"/>
        <v>18.448260732384309</v>
      </c>
      <c r="Z14" s="4">
        <f t="shared" si="11"/>
        <v>0.78014318263309357</v>
      </c>
      <c r="AA14" s="5">
        <f t="shared" si="12"/>
        <v>0.61126259718501086</v>
      </c>
      <c r="AB14" s="4">
        <f t="shared" si="13"/>
        <v>0.60727475719565438</v>
      </c>
      <c r="AC14">
        <f t="shared" si="14"/>
        <v>0.37281402198315877</v>
      </c>
      <c r="AD14">
        <f t="shared" si="15"/>
        <v>0.36357522572637363</v>
      </c>
      <c r="AE14">
        <f t="shared" si="16"/>
        <v>0.13702767880944744</v>
      </c>
      <c r="AG14">
        <v>32</v>
      </c>
      <c r="AH14">
        <f t="shared" si="17"/>
        <v>33</v>
      </c>
      <c r="AI14" s="6">
        <f t="shared" si="18"/>
        <v>0.1754733533241099</v>
      </c>
      <c r="AJ14" s="6">
        <f t="shared" si="19"/>
        <v>7.4663692091994152E-2</v>
      </c>
      <c r="AK14" s="6">
        <f t="shared" si="20"/>
        <v>7.6359662487080496E-2</v>
      </c>
      <c r="AL14" s="6">
        <f t="shared" si="21"/>
        <v>7.6359662487080496E-2</v>
      </c>
      <c r="AM14" s="6">
        <f t="shared" si="22"/>
        <v>4.1614624610889939E-2</v>
      </c>
      <c r="AN14" s="6">
        <f t="shared" si="23"/>
        <v>4.2559892241852276E-2</v>
      </c>
      <c r="AO14" s="6">
        <f t="shared" si="24"/>
        <v>4.2559892241852276E-2</v>
      </c>
      <c r="AP14" s="6">
        <f t="shared" si="25"/>
        <v>0.21708797793499984</v>
      </c>
      <c r="AQ14" s="6">
        <f t="shared" si="26"/>
        <v>0.21803324556596218</v>
      </c>
      <c r="AR14" s="6">
        <f t="shared" si="27"/>
        <v>0.21803324556596218</v>
      </c>
      <c r="AS14" s="4">
        <f t="shared" si="28"/>
        <v>16.059743261801735</v>
      </c>
      <c r="AT14">
        <f t="shared" si="29"/>
        <v>10</v>
      </c>
      <c r="AU14">
        <f t="shared" si="30"/>
        <v>8.7565798661099203E-2</v>
      </c>
      <c r="AV14">
        <f t="shared" si="31"/>
        <v>0.58447933309661326</v>
      </c>
      <c r="AW14">
        <f t="shared" si="32"/>
        <v>8.5338093884449613</v>
      </c>
      <c r="AX14" s="6">
        <f t="shared" si="33"/>
        <v>2.1386518259821643</v>
      </c>
      <c r="AZ14">
        <v>32</v>
      </c>
      <c r="BA14">
        <f t="shared" si="34"/>
        <v>48</v>
      </c>
      <c r="BB14" s="8">
        <v>50000</v>
      </c>
      <c r="BC14" s="20">
        <f t="shared" si="35"/>
        <v>6658.4247055461019</v>
      </c>
      <c r="BD14" s="20">
        <f t="shared" si="36"/>
        <v>319604.38586621289</v>
      </c>
      <c r="BF14">
        <v>32</v>
      </c>
      <c r="BG14">
        <f t="shared" si="37"/>
        <v>33</v>
      </c>
      <c r="BH14">
        <f t="shared" si="38"/>
        <v>10</v>
      </c>
      <c r="BI14">
        <f t="shared" si="39"/>
        <v>3.5072304761231382E-2</v>
      </c>
      <c r="BJ14">
        <f t="shared" si="40"/>
        <v>2.6119306172399978E-2</v>
      </c>
      <c r="BK14">
        <f t="shared" si="41"/>
        <v>7.9970483824368249E-3</v>
      </c>
      <c r="BL14">
        <f t="shared" si="42"/>
        <v>1.8122257789963153E-2</v>
      </c>
      <c r="BM14">
        <f t="shared" si="43"/>
        <v>5.3194562551194535E-2</v>
      </c>
      <c r="BN14">
        <f t="shared" si="44"/>
        <v>0.58447933309661326</v>
      </c>
      <c r="BO14">
        <f t="shared" si="45"/>
        <v>0.37801632137707142</v>
      </c>
      <c r="BP14">
        <f t="shared" si="46"/>
        <v>8.5338093884449613</v>
      </c>
      <c r="BQ14">
        <f t="shared" si="47"/>
        <v>12.187900814957043</v>
      </c>
      <c r="BR14">
        <f t="shared" si="48"/>
        <v>0.81286107677604713</v>
      </c>
      <c r="BS14">
        <f t="shared" si="49"/>
        <v>0.18713892322395287</v>
      </c>
      <c r="BT14">
        <f t="shared" si="50"/>
        <v>4.8691111787194874E-2</v>
      </c>
      <c r="BU14">
        <f t="shared" si="51"/>
        <v>4.8691111787194874E-2</v>
      </c>
      <c r="BV14">
        <f t="shared" si="52"/>
        <v>0.12270440108003698</v>
      </c>
      <c r="BW14">
        <f t="shared" si="53"/>
        <v>0.8779262707834331</v>
      </c>
      <c r="BX14">
        <f t="shared" si="54"/>
        <v>0.31140280507431273</v>
      </c>
      <c r="BY14">
        <f t="shared" si="55"/>
        <v>0.63598129228268785</v>
      </c>
      <c r="BZ14">
        <f t="shared" si="56"/>
        <v>0.94738409735700058</v>
      </c>
      <c r="CA14">
        <f t="shared" si="57"/>
        <v>2.3856960716790847</v>
      </c>
      <c r="CB14">
        <f t="shared" si="58"/>
        <v>0.49902618832022805</v>
      </c>
      <c r="CC14" s="6">
        <f t="shared" si="59"/>
        <v>0.79766975012558561</v>
      </c>
      <c r="CE14">
        <v>32</v>
      </c>
      <c r="CF14">
        <f t="shared" si="60"/>
        <v>48</v>
      </c>
      <c r="CG14" s="20">
        <f t="shared" si="61"/>
        <v>50000</v>
      </c>
      <c r="CH14" s="20">
        <f t="shared" si="62"/>
        <v>6758.3010761292926</v>
      </c>
      <c r="CI14" s="20">
        <f t="shared" si="63"/>
        <v>324398.45165420603</v>
      </c>
      <c r="CJ14" s="20">
        <f t="shared" si="64"/>
        <v>106932.59129910822</v>
      </c>
      <c r="CK14" s="20">
        <f t="shared" si="65"/>
        <v>108536.58016859482</v>
      </c>
      <c r="CL14" s="20">
        <f t="shared" si="66"/>
        <v>-1603.9888694866095</v>
      </c>
      <c r="CM14" s="20">
        <f t="shared" si="67"/>
        <v>-76991.465735357255</v>
      </c>
      <c r="CN14" s="20">
        <f t="shared" si="68"/>
        <v>1938336803.8882663</v>
      </c>
      <c r="CO14">
        <f t="shared" si="69"/>
        <v>44026.546581446361</v>
      </c>
      <c r="CP14" s="20">
        <f t="shared" si="70"/>
        <v>93040166586.63678</v>
      </c>
      <c r="CQ14">
        <f t="shared" si="71"/>
        <v>305024.86224345188</v>
      </c>
    </row>
    <row r="15" spans="1:95" x14ac:dyDescent="0.25">
      <c r="D15">
        <v>33</v>
      </c>
      <c r="E15" s="6">
        <f t="shared" si="6"/>
        <v>8.2885551732447826E-4</v>
      </c>
      <c r="F15" s="6">
        <f t="shared" si="7"/>
        <v>7.0849450480836573E-4</v>
      </c>
      <c r="G15" s="5">
        <f t="shared" si="8"/>
        <v>8.4500672221909934E-4</v>
      </c>
      <c r="I15">
        <v>31</v>
      </c>
      <c r="J15" s="9">
        <f t="shared" si="73"/>
        <v>99418.286899083803</v>
      </c>
      <c r="K15" s="9">
        <f t="shared" si="74"/>
        <v>99356.830061732398</v>
      </c>
      <c r="L15" s="9">
        <f t="shared" si="72"/>
        <v>99283.840832193135</v>
      </c>
      <c r="M15">
        <v>33</v>
      </c>
      <c r="O15">
        <v>33</v>
      </c>
      <c r="P15">
        <f t="shared" si="0"/>
        <v>0.12154604363280785</v>
      </c>
      <c r="Q15">
        <f t="shared" si="1"/>
        <v>2.6919458663684209E-2</v>
      </c>
      <c r="R15">
        <f t="shared" si="2"/>
        <v>0.1214107993853283</v>
      </c>
      <c r="S15" s="3">
        <f t="shared" si="3"/>
        <v>2.6777816222531923E-2</v>
      </c>
      <c r="T15">
        <f t="shared" si="4"/>
        <v>0.12686272639430174</v>
      </c>
      <c r="U15">
        <f t="shared" si="5"/>
        <v>2.883447694900047E-2</v>
      </c>
      <c r="W15">
        <v>33</v>
      </c>
      <c r="X15" s="4">
        <f t="shared" si="75"/>
        <v>18.450373212908108</v>
      </c>
      <c r="Y15" s="4">
        <f t="shared" si="10"/>
        <v>18.335882745719665</v>
      </c>
      <c r="Z15" s="4">
        <f t="shared" si="11"/>
        <v>0.77988809764956724</v>
      </c>
      <c r="AA15" s="5">
        <f t="shared" si="12"/>
        <v>0.61106273142574463</v>
      </c>
      <c r="AB15" s="4">
        <f t="shared" si="13"/>
        <v>0.60674571334236471</v>
      </c>
      <c r="AC15">
        <f t="shared" si="14"/>
        <v>0.37248923494992003</v>
      </c>
      <c r="AD15">
        <f t="shared" si="15"/>
        <v>0.36242781377618799</v>
      </c>
      <c r="AE15">
        <f t="shared" si="16"/>
        <v>0.13659523131289969</v>
      </c>
      <c r="AG15">
        <v>33</v>
      </c>
      <c r="AH15">
        <f t="shared" si="17"/>
        <v>32</v>
      </c>
      <c r="AI15" s="6">
        <f t="shared" si="18"/>
        <v>0.18439169381507844</v>
      </c>
      <c r="AJ15" s="6">
        <f t="shared" si="19"/>
        <v>7.8458434802354995E-2</v>
      </c>
      <c r="AK15" s="6">
        <f t="shared" si="20"/>
        <v>8.0240601996895256E-2</v>
      </c>
      <c r="AL15" s="6">
        <f t="shared" si="21"/>
        <v>8.0240601996895256E-2</v>
      </c>
      <c r="AM15" s="6">
        <f t="shared" si="22"/>
        <v>4.2952364582973301E-2</v>
      </c>
      <c r="AN15" s="6">
        <f t="shared" si="23"/>
        <v>4.3928018702005134E-2</v>
      </c>
      <c r="AO15" s="6">
        <f t="shared" si="24"/>
        <v>4.3928018702005134E-2</v>
      </c>
      <c r="AP15" s="6">
        <f t="shared" si="25"/>
        <v>0.22734405839805175</v>
      </c>
      <c r="AQ15" s="6">
        <f t="shared" si="26"/>
        <v>0.22831971251708358</v>
      </c>
      <c r="AR15" s="6">
        <f t="shared" si="27"/>
        <v>0.22831971251708358</v>
      </c>
      <c r="AS15" s="4">
        <f t="shared" si="28"/>
        <v>15.848483617617008</v>
      </c>
      <c r="AT15">
        <f t="shared" si="29"/>
        <v>10</v>
      </c>
      <c r="AU15">
        <f t="shared" si="30"/>
        <v>9.201628412244918E-2</v>
      </c>
      <c r="AV15">
        <f t="shared" si="31"/>
        <v>0.58447933309661326</v>
      </c>
      <c r="AW15">
        <f t="shared" si="32"/>
        <v>8.5338093884449613</v>
      </c>
      <c r="AX15" s="6">
        <f t="shared" si="33"/>
        <v>2.2473476753201043</v>
      </c>
      <c r="AZ15">
        <v>33</v>
      </c>
      <c r="BA15">
        <f t="shared" si="34"/>
        <v>48</v>
      </c>
      <c r="BB15" s="8">
        <v>50000</v>
      </c>
      <c r="BC15" s="20">
        <f t="shared" si="35"/>
        <v>7090.103159213214</v>
      </c>
      <c r="BD15" s="20">
        <f t="shared" si="36"/>
        <v>340324.95164223429</v>
      </c>
      <c r="BF15">
        <v>33</v>
      </c>
      <c r="BG15">
        <f t="shared" si="37"/>
        <v>32</v>
      </c>
      <c r="BH15">
        <f t="shared" si="38"/>
        <v>10</v>
      </c>
      <c r="BI15">
        <f t="shared" si="39"/>
        <v>3.8697577930399109E-2</v>
      </c>
      <c r="BJ15">
        <f t="shared" si="40"/>
        <v>2.8013654976491782E-2</v>
      </c>
      <c r="BK15">
        <f t="shared" si="41"/>
        <v>8.8236688492340717E-3</v>
      </c>
      <c r="BL15">
        <f t="shared" si="42"/>
        <v>1.918998612725771E-2</v>
      </c>
      <c r="BM15">
        <f t="shared" si="43"/>
        <v>5.7887564057656819E-2</v>
      </c>
      <c r="BN15">
        <f t="shared" si="44"/>
        <v>0.58447933309661326</v>
      </c>
      <c r="BO15">
        <f t="shared" si="45"/>
        <v>0.37801632137707142</v>
      </c>
      <c r="BP15">
        <f t="shared" si="46"/>
        <v>8.5338093884449613</v>
      </c>
      <c r="BQ15">
        <f t="shared" si="47"/>
        <v>12.187900814957043</v>
      </c>
      <c r="BR15">
        <f t="shared" si="48"/>
        <v>0.81286107677604713</v>
      </c>
      <c r="BS15">
        <f t="shared" si="49"/>
        <v>0.18713892322395287</v>
      </c>
      <c r="BT15">
        <f t="shared" si="50"/>
        <v>4.8691111787194874E-2</v>
      </c>
      <c r="BU15">
        <f t="shared" si="51"/>
        <v>4.8691111787194874E-2</v>
      </c>
      <c r="BV15">
        <f t="shared" si="52"/>
        <v>0.12883962113403885</v>
      </c>
      <c r="BW15">
        <f t="shared" si="53"/>
        <v>0.87861562832552653</v>
      </c>
      <c r="BX15">
        <f t="shared" si="54"/>
        <v>0.34359117255472349</v>
      </c>
      <c r="BY15">
        <f t="shared" si="55"/>
        <v>0.69775728693444794</v>
      </c>
      <c r="BZ15">
        <f t="shared" si="56"/>
        <v>1.0413484594891713</v>
      </c>
      <c r="CA15">
        <f t="shared" si="57"/>
        <v>2.4285531284973421</v>
      </c>
      <c r="CB15">
        <f t="shared" si="58"/>
        <v>0.49902618832022805</v>
      </c>
      <c r="CC15" s="6">
        <f t="shared" si="59"/>
        <v>0.85172697927907848</v>
      </c>
      <c r="CE15">
        <v>33</v>
      </c>
      <c r="CF15">
        <f t="shared" si="60"/>
        <v>48</v>
      </c>
      <c r="CG15" s="20">
        <f t="shared" si="61"/>
        <v>50000</v>
      </c>
      <c r="CH15" s="20">
        <f t="shared" si="62"/>
        <v>7196.4547066014111</v>
      </c>
      <c r="CI15" s="20">
        <f t="shared" si="63"/>
        <v>345429.8259168677</v>
      </c>
      <c r="CJ15" s="20">
        <f t="shared" si="64"/>
        <v>112367.38376600521</v>
      </c>
      <c r="CK15" s="20">
        <f t="shared" si="65"/>
        <v>114052.89452249528</v>
      </c>
      <c r="CL15" s="20">
        <f t="shared" si="66"/>
        <v>-1685.5107564900682</v>
      </c>
      <c r="CM15" s="20">
        <f t="shared" si="67"/>
        <v>-80904.516311523272</v>
      </c>
      <c r="CN15" s="20">
        <f t="shared" si="68"/>
        <v>2116201927.5111442</v>
      </c>
      <c r="CO15">
        <f t="shared" si="69"/>
        <v>46002.194811890702</v>
      </c>
      <c r="CP15" s="20">
        <f t="shared" si="70"/>
        <v>101577692520.53491</v>
      </c>
      <c r="CQ15">
        <f t="shared" si="71"/>
        <v>318712.55469550443</v>
      </c>
    </row>
    <row r="16" spans="1:95" x14ac:dyDescent="0.25">
      <c r="D16">
        <v>34</v>
      </c>
      <c r="E16" s="6">
        <f t="shared" si="6"/>
        <v>8.8972309026780216E-4</v>
      </c>
      <c r="F16" s="6">
        <f t="shared" si="7"/>
        <v>7.6053819159338509E-4</v>
      </c>
      <c r="G16" s="5">
        <f t="shared" si="8"/>
        <v>9.0860661513614271E-4</v>
      </c>
      <c r="I16">
        <v>32</v>
      </c>
      <c r="J16" s="9">
        <f t="shared" si="73"/>
        <v>99345.385529442035</v>
      </c>
      <c r="K16" s="9">
        <f t="shared" si="74"/>
        <v>99279.70037623783</v>
      </c>
      <c r="L16" s="9">
        <f t="shared" si="72"/>
        <v>99201.548872938205</v>
      </c>
      <c r="M16">
        <v>34</v>
      </c>
      <c r="O16">
        <v>34</v>
      </c>
      <c r="P16">
        <f t="shared" si="0"/>
        <v>0.12689967179023379</v>
      </c>
      <c r="Q16">
        <f t="shared" si="1"/>
        <v>2.8873779851122976E-2</v>
      </c>
      <c r="R16">
        <f t="shared" si="2"/>
        <v>0.1267553962807062</v>
      </c>
      <c r="S16" s="3">
        <f t="shared" si="3"/>
        <v>2.8722032700204125E-2</v>
      </c>
      <c r="T16">
        <f t="shared" si="4"/>
        <v>0.13243334852254013</v>
      </c>
      <c r="U16">
        <f t="shared" si="5"/>
        <v>3.0929025565553034E-2</v>
      </c>
      <c r="W16">
        <v>34</v>
      </c>
      <c r="X16" s="4">
        <f t="shared" si="75"/>
        <v>18.338136678105172</v>
      </c>
      <c r="Y16" s="4">
        <f t="shared" si="10"/>
        <v>18.218899681026656</v>
      </c>
      <c r="Z16" s="4">
        <f t="shared" si="11"/>
        <v>0.77960760050016298</v>
      </c>
      <c r="AA16" s="5">
        <f t="shared" si="12"/>
        <v>0.61084295456956672</v>
      </c>
      <c r="AB16" s="4">
        <f t="shared" si="13"/>
        <v>0.60616429741725386</v>
      </c>
      <c r="AC16">
        <f t="shared" si="14"/>
        <v>0.37213229600767472</v>
      </c>
      <c r="AD16">
        <f t="shared" si="15"/>
        <v>0.36116984259910401</v>
      </c>
      <c r="AE16">
        <f t="shared" si="16"/>
        <v>0.13612111520649936</v>
      </c>
      <c r="AG16">
        <v>34</v>
      </c>
      <c r="AH16">
        <f t="shared" si="17"/>
        <v>31</v>
      </c>
      <c r="AI16" s="6">
        <f t="shared" si="18"/>
        <v>0.19377425030848916</v>
      </c>
      <c r="AJ16" s="6">
        <f t="shared" si="19"/>
        <v>8.2450700840411631E-2</v>
      </c>
      <c r="AK16" s="6">
        <f t="shared" si="20"/>
        <v>8.4323551536130872E-2</v>
      </c>
      <c r="AL16" s="6">
        <f t="shared" si="21"/>
        <v>8.4323551536130872E-2</v>
      </c>
      <c r="AM16" s="6">
        <f t="shared" si="22"/>
        <v>4.430469544029457E-2</v>
      </c>
      <c r="AN16" s="6">
        <f t="shared" si="23"/>
        <v>4.5311067476350275E-2</v>
      </c>
      <c r="AO16" s="6">
        <f t="shared" si="24"/>
        <v>4.5311067476350275E-2</v>
      </c>
      <c r="AP16" s="6">
        <f t="shared" si="25"/>
        <v>0.23807894574878374</v>
      </c>
      <c r="AQ16" s="6">
        <f t="shared" si="26"/>
        <v>0.23908531778483944</v>
      </c>
      <c r="AR16" s="6">
        <f t="shared" si="27"/>
        <v>0.23908531778483944</v>
      </c>
      <c r="AS16" s="4">
        <f t="shared" si="28"/>
        <v>15.62738360834207</v>
      </c>
      <c r="AT16">
        <f t="shared" si="29"/>
        <v>10</v>
      </c>
      <c r="AU16">
        <f t="shared" si="30"/>
        <v>9.6698425526055148E-2</v>
      </c>
      <c r="AV16">
        <f t="shared" si="31"/>
        <v>0.58447933309661326</v>
      </c>
      <c r="AW16">
        <f t="shared" si="32"/>
        <v>8.5338093884449613</v>
      </c>
      <c r="AX16" s="6">
        <f t="shared" si="33"/>
        <v>2.3617013432525251</v>
      </c>
      <c r="AZ16">
        <v>34</v>
      </c>
      <c r="BA16">
        <f t="shared" si="34"/>
        <v>48</v>
      </c>
      <c r="BB16" s="8">
        <v>50000</v>
      </c>
      <c r="BC16" s="20">
        <f t="shared" si="35"/>
        <v>7556.2915790709294</v>
      </c>
      <c r="BD16" s="20">
        <f t="shared" si="36"/>
        <v>362701.9957954046</v>
      </c>
      <c r="BF16">
        <v>34</v>
      </c>
      <c r="BG16">
        <f t="shared" si="37"/>
        <v>31</v>
      </c>
      <c r="BH16">
        <f t="shared" si="38"/>
        <v>10</v>
      </c>
      <c r="BI16">
        <f t="shared" si="39"/>
        <v>4.2699992049123656E-2</v>
      </c>
      <c r="BJ16">
        <f t="shared" si="40"/>
        <v>3.0047600132904143E-2</v>
      </c>
      <c r="BK16">
        <f t="shared" si="41"/>
        <v>9.7362835054961051E-3</v>
      </c>
      <c r="BL16">
        <f t="shared" si="42"/>
        <v>2.0311316627408038E-2</v>
      </c>
      <c r="BM16">
        <f t="shared" si="43"/>
        <v>6.3011308676531694E-2</v>
      </c>
      <c r="BN16">
        <f t="shared" ref="BN16:BN42" si="76">VLOOKUP(BF16+BG16+BH16,$O$2:$U$102, 2)*$B$6/($B$9*((1+$B$6)^(1/$B$9) - 1))</f>
        <v>0.58447933309661326</v>
      </c>
      <c r="BO16">
        <f t="shared" ref="BO16:BO42" si="77">VLOOKUP(BF16+BG16+BH16,$O$2:$U$102, 3)* (EXP(2*LN(1+$B$6)) - 1)/($B$9*((1+(EXP(2*LN(1+$B$6)) - 1))^(1/$B$9) - 1))</f>
        <v>0.37801632137707142</v>
      </c>
      <c r="BP16">
        <f t="shared" ref="BP16:BP42" si="78">(1-BN16)/($B$9*(1-(1-($B$6/(1+$B$6)))^(1/$B$9)))</f>
        <v>8.5338093884449613</v>
      </c>
      <c r="BQ16">
        <f t="shared" si="47"/>
        <v>12.187900814957043</v>
      </c>
      <c r="BR16">
        <f t="shared" si="48"/>
        <v>0.81286107677604713</v>
      </c>
      <c r="BS16">
        <f t="shared" si="49"/>
        <v>0.18713892322395287</v>
      </c>
      <c r="BT16">
        <f t="shared" si="50"/>
        <v>4.8691111787194874E-2</v>
      </c>
      <c r="BU16">
        <f t="shared" si="51"/>
        <v>4.8691111787194874E-2</v>
      </c>
      <c r="BV16">
        <f t="shared" si="52"/>
        <v>0.13528160219074079</v>
      </c>
      <c r="BW16">
        <f t="shared" si="53"/>
        <v>0.87935520080237661</v>
      </c>
      <c r="BX16">
        <f t="shared" si="54"/>
        <v>0.37912812948199048</v>
      </c>
      <c r="BY16">
        <f t="shared" si="55"/>
        <v>0.7652339361692222</v>
      </c>
      <c r="BZ16">
        <f t="shared" si="56"/>
        <v>1.1443620656512126</v>
      </c>
      <c r="CA16">
        <f t="shared" si="57"/>
        <v>2.4672934771104691</v>
      </c>
      <c r="CB16">
        <f t="shared" si="58"/>
        <v>0.49902618832022805</v>
      </c>
      <c r="CC16" s="6">
        <f t="shared" si="59"/>
        <v>0.90827353590783133</v>
      </c>
      <c r="CE16">
        <v>34</v>
      </c>
      <c r="CF16">
        <f t="shared" si="60"/>
        <v>48</v>
      </c>
      <c r="CG16" s="20">
        <f t="shared" si="61"/>
        <v>50000</v>
      </c>
      <c r="CH16" s="20">
        <f t="shared" si="62"/>
        <v>7669.635952756993</v>
      </c>
      <c r="CI16" s="20">
        <f t="shared" si="63"/>
        <v>368142.52573233563</v>
      </c>
      <c r="CJ16" s="20">
        <f t="shared" si="64"/>
        <v>118085.06716262626</v>
      </c>
      <c r="CK16" s="20">
        <f t="shared" si="65"/>
        <v>119856.34317006565</v>
      </c>
      <c r="CL16" s="20">
        <f t="shared" si="66"/>
        <v>-1771.2760074393882</v>
      </c>
      <c r="CM16" s="20">
        <f t="shared" si="67"/>
        <v>-85021.248357090633</v>
      </c>
      <c r="CN16" s="20">
        <f t="shared" si="68"/>
        <v>2309426810.5342722</v>
      </c>
      <c r="CO16">
        <f t="shared" si="69"/>
        <v>48056.496028469162</v>
      </c>
      <c r="CP16" s="20">
        <f t="shared" si="70"/>
        <v>110852486905.64507</v>
      </c>
      <c r="CQ16">
        <f t="shared" si="71"/>
        <v>332945.17102016223</v>
      </c>
    </row>
    <row r="17" spans="1:95" x14ac:dyDescent="0.25">
      <c r="D17">
        <v>35</v>
      </c>
      <c r="E17" s="6">
        <f t="shared" si="6"/>
        <v>9.5667313784952857E-4</v>
      </c>
      <c r="F17" s="6">
        <f t="shared" si="7"/>
        <v>8.1778311647451307E-4</v>
      </c>
      <c r="G17" s="5">
        <f t="shared" si="8"/>
        <v>9.7856182149058668E-4</v>
      </c>
      <c r="I17">
        <v>33</v>
      </c>
      <c r="J17" s="9">
        <f t="shared" si="73"/>
        <v>99267.439623884435</v>
      </c>
      <c r="K17" s="9">
        <f t="shared" si="74"/>
        <v>99197.109188404516</v>
      </c>
      <c r="L17" s="9">
        <f t="shared" si="72"/>
        <v>99113.286964315615</v>
      </c>
      <c r="M17">
        <v>35</v>
      </c>
      <c r="O17">
        <v>35</v>
      </c>
      <c r="P17">
        <f t="shared" si="0"/>
        <v>0.13247279639526288</v>
      </c>
      <c r="Q17">
        <f t="shared" si="1"/>
        <v>3.0971174965094449E-2</v>
      </c>
      <c r="R17">
        <f t="shared" si="2"/>
        <v>0.13231867689057539</v>
      </c>
      <c r="S17" s="3">
        <f t="shared" si="3"/>
        <v>3.0808357518133885E-2</v>
      </c>
      <c r="T17">
        <f t="shared" si="4"/>
        <v>0.13822986967224007</v>
      </c>
      <c r="U17">
        <f t="shared" si="5"/>
        <v>3.3175561461310718E-2</v>
      </c>
      <c r="W17">
        <v>35</v>
      </c>
      <c r="X17" s="4">
        <f t="shared" si="75"/>
        <v>18.221307785297917</v>
      </c>
      <c r="Y17" s="4">
        <f t="shared" si="10"/>
        <v>18.09717273688296</v>
      </c>
      <c r="Z17" s="4">
        <f t="shared" si="11"/>
        <v>0.77929917015606331</v>
      </c>
      <c r="AA17" s="5">
        <f t="shared" si="12"/>
        <v>0.61060129132443175</v>
      </c>
      <c r="AB17" s="4">
        <f t="shared" si="13"/>
        <v>0.60552538337990602</v>
      </c>
      <c r="AC17">
        <f t="shared" si="14"/>
        <v>0.37174005821227368</v>
      </c>
      <c r="AD17">
        <f t="shared" si="15"/>
        <v>0.35979111686990967</v>
      </c>
      <c r="AE17">
        <f t="shared" si="16"/>
        <v>0.13560148797939961</v>
      </c>
      <c r="AG17">
        <v>35</v>
      </c>
      <c r="AH17">
        <f t="shared" si="17"/>
        <v>30</v>
      </c>
      <c r="AI17" s="6">
        <f t="shared" si="18"/>
        <v>0.20364688134635781</v>
      </c>
      <c r="AJ17" s="6">
        <f t="shared" si="19"/>
        <v>8.6651492983408823E-2</v>
      </c>
      <c r="AK17" s="6">
        <f t="shared" si="20"/>
        <v>8.8619763807852164E-2</v>
      </c>
      <c r="AL17" s="6">
        <f t="shared" si="21"/>
        <v>8.8619763807852164E-2</v>
      </c>
      <c r="AM17" s="6">
        <f t="shared" si="22"/>
        <v>4.5667183907166564E-2</v>
      </c>
      <c r="AN17" s="6">
        <f t="shared" si="23"/>
        <v>4.6704504588255986E-2</v>
      </c>
      <c r="AO17" s="6">
        <f t="shared" si="24"/>
        <v>4.6704504588255986E-2</v>
      </c>
      <c r="AP17" s="6">
        <f t="shared" si="25"/>
        <v>0.24931406525352437</v>
      </c>
      <c r="AQ17" s="6">
        <f t="shared" si="26"/>
        <v>0.25035138593461381</v>
      </c>
      <c r="AR17" s="6">
        <f t="shared" si="27"/>
        <v>0.25035138593461381</v>
      </c>
      <c r="AS17" s="4">
        <f t="shared" si="28"/>
        <v>15.396005277959867</v>
      </c>
      <c r="AT17">
        <f t="shared" si="29"/>
        <v>10</v>
      </c>
      <c r="AU17">
        <f t="shared" si="30"/>
        <v>0.10162512696157468</v>
      </c>
      <c r="AV17">
        <f t="shared" si="31"/>
        <v>0.58447933309661326</v>
      </c>
      <c r="AW17">
        <f t="shared" si="32"/>
        <v>8.5338093884449613</v>
      </c>
      <c r="AX17" s="6">
        <f t="shared" si="33"/>
        <v>2.4820279911247347</v>
      </c>
      <c r="AZ17">
        <v>35</v>
      </c>
      <c r="BA17">
        <f t="shared" si="34"/>
        <v>48</v>
      </c>
      <c r="BB17" s="8">
        <v>50000</v>
      </c>
      <c r="BC17" s="20">
        <f t="shared" si="35"/>
        <v>8060.6233445434018</v>
      </c>
      <c r="BD17" s="20">
        <f t="shared" si="36"/>
        <v>386909.9205380833</v>
      </c>
      <c r="BF17">
        <v>35</v>
      </c>
      <c r="BG17">
        <f t="shared" si="37"/>
        <v>30</v>
      </c>
      <c r="BH17">
        <f t="shared" si="38"/>
        <v>10</v>
      </c>
      <c r="BI17">
        <f t="shared" si="39"/>
        <v>4.7119295832642537E-2</v>
      </c>
      <c r="BJ17">
        <f t="shared" si="40"/>
        <v>3.2230212155209305E-2</v>
      </c>
      <c r="BK17">
        <f t="shared" si="41"/>
        <v>1.0743955696248527E-2</v>
      </c>
      <c r="BL17">
        <f t="shared" si="42"/>
        <v>2.1486256458960778E-2</v>
      </c>
      <c r="BM17">
        <f t="shared" si="43"/>
        <v>6.8605552291603311E-2</v>
      </c>
      <c r="BN17">
        <f t="shared" si="76"/>
        <v>0.58447933309661326</v>
      </c>
      <c r="BO17">
        <f t="shared" si="77"/>
        <v>0.37801632137707142</v>
      </c>
      <c r="BP17">
        <f t="shared" si="78"/>
        <v>8.5338093884449613</v>
      </c>
      <c r="BQ17">
        <f t="shared" si="47"/>
        <v>12.187900814957043</v>
      </c>
      <c r="BR17">
        <f t="shared" si="48"/>
        <v>0.81286107677604713</v>
      </c>
      <c r="BS17">
        <f t="shared" si="49"/>
        <v>0.18713892322395287</v>
      </c>
      <c r="BT17">
        <f t="shared" si="50"/>
        <v>4.8691111787194874E-2</v>
      </c>
      <c r="BU17">
        <f t="shared" si="51"/>
        <v>4.8691111787194874E-2</v>
      </c>
      <c r="BV17">
        <f t="shared" si="52"/>
        <v>0.14204568230027784</v>
      </c>
      <c r="BW17">
        <f t="shared" si="53"/>
        <v>0.88015008605810285</v>
      </c>
      <c r="BX17">
        <f t="shared" si="54"/>
        <v>0.41836659995127412</v>
      </c>
      <c r="BY17">
        <f t="shared" si="55"/>
        <v>0.83886937687397833</v>
      </c>
      <c r="BZ17">
        <f t="shared" si="56"/>
        <v>1.2572359768252523</v>
      </c>
      <c r="CA17">
        <f t="shared" si="57"/>
        <v>2.5011282719107055</v>
      </c>
      <c r="CB17">
        <f t="shared" si="58"/>
        <v>0.49902618832022805</v>
      </c>
      <c r="CC17" s="6">
        <f t="shared" si="59"/>
        <v>0.96719589467458889</v>
      </c>
      <c r="CE17">
        <v>35</v>
      </c>
      <c r="CF17">
        <f t="shared" si="60"/>
        <v>48</v>
      </c>
      <c r="CG17" s="20">
        <f t="shared" si="61"/>
        <v>50000</v>
      </c>
      <c r="CH17" s="20">
        <f t="shared" si="62"/>
        <v>8181.5326947115518</v>
      </c>
      <c r="CI17" s="20">
        <f t="shared" si="63"/>
        <v>392713.56934615446</v>
      </c>
      <c r="CJ17" s="20">
        <f t="shared" si="64"/>
        <v>124101.39955623673</v>
      </c>
      <c r="CK17" s="20">
        <f t="shared" si="65"/>
        <v>125962.92054958027</v>
      </c>
      <c r="CL17" s="20">
        <f t="shared" si="66"/>
        <v>-1861.5209933435399</v>
      </c>
      <c r="CM17" s="20">
        <f t="shared" si="67"/>
        <v>-89353.007680489914</v>
      </c>
      <c r="CN17" s="20">
        <f t="shared" si="68"/>
        <v>2519194675.3779593</v>
      </c>
      <c r="CO17">
        <f t="shared" si="69"/>
        <v>50191.579725865966</v>
      </c>
      <c r="CP17" s="20">
        <f t="shared" si="70"/>
        <v>120921344418.14204</v>
      </c>
      <c r="CQ17">
        <f t="shared" si="71"/>
        <v>347737.46478937531</v>
      </c>
    </row>
    <row r="18" spans="1:95" x14ac:dyDescent="0.25">
      <c r="D18">
        <v>36</v>
      </c>
      <c r="E18" s="6">
        <f t="shared" si="6"/>
        <v>1.0303130085240753E-3</v>
      </c>
      <c r="F18" s="6">
        <f t="shared" si="7"/>
        <v>8.8074874605659215E-4</v>
      </c>
      <c r="G18" s="5">
        <f t="shared" si="8"/>
        <v>1.0555068910941268E-3</v>
      </c>
      <c r="I18">
        <v>34</v>
      </c>
      <c r="J18" s="9">
        <f t="shared" si="73"/>
        <v>99183.951784014716</v>
      </c>
      <c r="K18" s="9">
        <f t="shared" si="74"/>
        <v>99108.518600689815</v>
      </c>
      <c r="L18" s="9">
        <f t="shared" si="72"/>
        <v>99018.467945072887</v>
      </c>
      <c r="M18">
        <v>36</v>
      </c>
      <c r="O18">
        <v>36</v>
      </c>
      <c r="P18">
        <f t="shared" si="0"/>
        <v>0.13827204422760458</v>
      </c>
      <c r="Q18">
        <f t="shared" si="1"/>
        <v>3.3220828735635581E-2</v>
      </c>
      <c r="R18">
        <f t="shared" si="2"/>
        <v>0.13810720076502442</v>
      </c>
      <c r="S18" s="3">
        <f t="shared" si="3"/>
        <v>3.3045886924593246E-2</v>
      </c>
      <c r="T18">
        <f t="shared" si="4"/>
        <v>0.1442588678742068</v>
      </c>
      <c r="U18">
        <f t="shared" si="5"/>
        <v>3.5583681871495867E-2</v>
      </c>
      <c r="W18">
        <v>36</v>
      </c>
      <c r="X18" s="4">
        <f t="shared" si="75"/>
        <v>18.099748783934491</v>
      </c>
      <c r="Y18" s="4">
        <f t="shared" si="10"/>
        <v>17.970563774641658</v>
      </c>
      <c r="Z18" s="4">
        <f t="shared" si="11"/>
        <v>0.778960037711103</v>
      </c>
      <c r="AA18" s="5">
        <f t="shared" si="12"/>
        <v>0.61033557217990686</v>
      </c>
      <c r="AB18" s="4">
        <f t="shared" si="13"/>
        <v>0.60482335572680557</v>
      </c>
      <c r="AC18">
        <f t="shared" si="14"/>
        <v>0.37130907413168318</v>
      </c>
      <c r="AD18">
        <f t="shared" si="15"/>
        <v>0.35828059671132773</v>
      </c>
      <c r="AE18">
        <f t="shared" si="16"/>
        <v>0.13503218881796242</v>
      </c>
      <c r="AG18">
        <v>36</v>
      </c>
      <c r="AH18">
        <f t="shared" si="17"/>
        <v>29</v>
      </c>
      <c r="AI18" s="6">
        <f t="shared" si="18"/>
        <v>0.21403714406571309</v>
      </c>
      <c r="AJ18" s="6">
        <f t="shared" si="19"/>
        <v>9.1072536758642117E-2</v>
      </c>
      <c r="AK18" s="6">
        <f t="shared" si="20"/>
        <v>9.3141230682293297E-2</v>
      </c>
      <c r="AL18" s="6">
        <f t="shared" si="21"/>
        <v>9.3141230682293297E-2</v>
      </c>
      <c r="AM18" s="6">
        <f t="shared" si="22"/>
        <v>4.7034664006382301E-2</v>
      </c>
      <c r="AN18" s="6">
        <f t="shared" si="23"/>
        <v>4.8103046716406514E-2</v>
      </c>
      <c r="AO18" s="6">
        <f t="shared" si="24"/>
        <v>4.8103046716406514E-2</v>
      </c>
      <c r="AP18" s="6">
        <f t="shared" si="25"/>
        <v>0.2610718080720954</v>
      </c>
      <c r="AQ18" s="6">
        <f t="shared" si="26"/>
        <v>0.26214019078211959</v>
      </c>
      <c r="AR18" s="6">
        <f t="shared" si="27"/>
        <v>0.26214019078211959</v>
      </c>
      <c r="AS18" s="4">
        <f t="shared" si="28"/>
        <v>15.153891175102062</v>
      </c>
      <c r="AT18">
        <f t="shared" si="29"/>
        <v>10</v>
      </c>
      <c r="AU18">
        <f t="shared" si="30"/>
        <v>0.10681014016206034</v>
      </c>
      <c r="AV18">
        <f t="shared" si="31"/>
        <v>0.58447933309661326</v>
      </c>
      <c r="AW18">
        <f t="shared" si="32"/>
        <v>8.5338093884449613</v>
      </c>
      <c r="AX18" s="6">
        <f t="shared" si="33"/>
        <v>2.6086634825895825</v>
      </c>
      <c r="AZ18">
        <v>36</v>
      </c>
      <c r="BA18">
        <f t="shared" si="34"/>
        <v>48</v>
      </c>
      <c r="BB18" s="8">
        <v>50000</v>
      </c>
      <c r="BC18" s="20">
        <f t="shared" si="35"/>
        <v>8607.2397262415107</v>
      </c>
      <c r="BD18" s="20">
        <f t="shared" si="36"/>
        <v>413147.50685959251</v>
      </c>
      <c r="BF18">
        <v>36</v>
      </c>
      <c r="BG18">
        <f t="shared" si="37"/>
        <v>29</v>
      </c>
      <c r="BH18">
        <f t="shared" si="38"/>
        <v>10</v>
      </c>
      <c r="BI18">
        <f t="shared" si="39"/>
        <v>5.1999536727086577E-2</v>
      </c>
      <c r="BJ18">
        <f t="shared" si="40"/>
        <v>3.4571007097986023E-2</v>
      </c>
      <c r="BK18">
        <f t="shared" si="41"/>
        <v>1.1856728946153574E-2</v>
      </c>
      <c r="BL18">
        <f t="shared" si="42"/>
        <v>2.2714278151832447E-2</v>
      </c>
      <c r="BM18">
        <f t="shared" si="43"/>
        <v>7.4713814878919024E-2</v>
      </c>
      <c r="BN18">
        <f t="shared" si="76"/>
        <v>0.58447933309661326</v>
      </c>
      <c r="BO18">
        <f t="shared" si="77"/>
        <v>0.37801632137707142</v>
      </c>
      <c r="BP18">
        <f t="shared" si="78"/>
        <v>8.5338093884449613</v>
      </c>
      <c r="BQ18">
        <f t="shared" si="47"/>
        <v>12.187900814957043</v>
      </c>
      <c r="BR18">
        <f t="shared" si="48"/>
        <v>0.81286107677604713</v>
      </c>
      <c r="BS18">
        <f t="shared" si="49"/>
        <v>0.18713892322395287</v>
      </c>
      <c r="BT18">
        <f t="shared" si="50"/>
        <v>4.8691111787194874E-2</v>
      </c>
      <c r="BU18">
        <f t="shared" si="51"/>
        <v>4.8691111787194874E-2</v>
      </c>
      <c r="BV18">
        <f t="shared" si="52"/>
        <v>0.14914796641529171</v>
      </c>
      <c r="BW18">
        <f t="shared" si="53"/>
        <v>0.88100590742269791</v>
      </c>
      <c r="BX18">
        <f t="shared" si="54"/>
        <v>0.46169767597591382</v>
      </c>
      <c r="BY18">
        <f t="shared" si="55"/>
        <v>0.91914218407481008</v>
      </c>
      <c r="BZ18">
        <f t="shared" si="56"/>
        <v>1.3808398600507239</v>
      </c>
      <c r="CA18">
        <f t="shared" si="57"/>
        <v>2.5292195149131684</v>
      </c>
      <c r="CB18">
        <f t="shared" si="58"/>
        <v>0.49902618832022805</v>
      </c>
      <c r="CC18" s="6">
        <f t="shared" si="59"/>
        <v>1.0283262205588386</v>
      </c>
      <c r="CE18">
        <v>36</v>
      </c>
      <c r="CF18">
        <f t="shared" si="60"/>
        <v>48</v>
      </c>
      <c r="CG18" s="20">
        <f t="shared" si="61"/>
        <v>50000</v>
      </c>
      <c r="CH18" s="20">
        <f t="shared" si="62"/>
        <v>8736.3483221351325</v>
      </c>
      <c r="CI18" s="20">
        <f t="shared" si="63"/>
        <v>419344.71946248633</v>
      </c>
      <c r="CJ18" s="20">
        <f t="shared" si="64"/>
        <v>130433.17412947913</v>
      </c>
      <c r="CK18" s="20">
        <f t="shared" si="65"/>
        <v>132389.67174142131</v>
      </c>
      <c r="CL18" s="20">
        <f t="shared" si="66"/>
        <v>-1956.4976119421772</v>
      </c>
      <c r="CM18" s="20">
        <f t="shared" si="67"/>
        <v>-93911.885373224504</v>
      </c>
      <c r="CN18" s="20">
        <f t="shared" si="68"/>
        <v>2746757643.8688602</v>
      </c>
      <c r="CO18">
        <f t="shared" si="69"/>
        <v>52409.518638018992</v>
      </c>
      <c r="CP18" s="20">
        <f t="shared" si="70"/>
        <v>131844366905.70529</v>
      </c>
      <c r="CQ18">
        <f t="shared" si="71"/>
        <v>363103.79632510769</v>
      </c>
    </row>
    <row r="19" spans="1:95" x14ac:dyDescent="0.25">
      <c r="D19">
        <v>37</v>
      </c>
      <c r="E19" s="6">
        <f t="shared" si="6"/>
        <v>1.1113105969143833E-3</v>
      </c>
      <c r="F19" s="6">
        <f t="shared" si="7"/>
        <v>9.5000635566433456E-4</v>
      </c>
      <c r="G19" s="5">
        <f t="shared" si="8"/>
        <v>1.1401396227493921E-3</v>
      </c>
      <c r="I19">
        <v>35</v>
      </c>
      <c r="J19" s="9">
        <f t="shared" si="73"/>
        <v>99094.376310323772</v>
      </c>
      <c r="K19" s="9">
        <f t="shared" si="74"/>
        <v>99013.338602439617</v>
      </c>
      <c r="L19" s="9">
        <f t="shared" si="72"/>
        <v>98916.44792946495</v>
      </c>
      <c r="M19">
        <v>37</v>
      </c>
      <c r="O19">
        <v>37</v>
      </c>
      <c r="P19">
        <f t="shared" si="0"/>
        <v>0.14430401173092933</v>
      </c>
      <c r="Q19">
        <f t="shared" si="1"/>
        <v>3.5632363159802151E-2</v>
      </c>
      <c r="R19">
        <f t="shared" si="2"/>
        <v>0.14412749236682496</v>
      </c>
      <c r="S19" s="3">
        <f t="shared" si="3"/>
        <v>3.5444146979393416E-2</v>
      </c>
      <c r="T19">
        <f t="shared" si="4"/>
        <v>0.15052686210520003</v>
      </c>
      <c r="U19">
        <f t="shared" si="5"/>
        <v>3.81634211817935E-2</v>
      </c>
      <c r="W19">
        <v>37</v>
      </c>
      <c r="X19" s="4">
        <f t="shared" si="75"/>
        <v>17.973322660296677</v>
      </c>
      <c r="Y19" s="4">
        <f t="shared" si="10"/>
        <v>17.838935895790801</v>
      </c>
      <c r="Z19" s="4">
        <f t="shared" si="11"/>
        <v>0.77858716247680604</v>
      </c>
      <c r="AA19" s="5">
        <f t="shared" si="12"/>
        <v>0.61004341467700707</v>
      </c>
      <c r="AB19" s="4">
        <f t="shared" si="13"/>
        <v>0.60405206533745925</v>
      </c>
      <c r="AC19">
        <f t="shared" si="14"/>
        <v>0.37083556873933493</v>
      </c>
      <c r="AD19">
        <f t="shared" si="15"/>
        <v>0.3566263481224517</v>
      </c>
      <c r="AE19">
        <f t="shared" si="16"/>
        <v>0.13440871992275755</v>
      </c>
      <c r="AG19">
        <v>37</v>
      </c>
      <c r="AH19">
        <f t="shared" si="17"/>
        <v>28</v>
      </c>
      <c r="AI19" s="6">
        <f t="shared" si="18"/>
        <v>0.22497444301129013</v>
      </c>
      <c r="AJ19" s="6">
        <f t="shared" si="19"/>
        <v>9.5726343763072652E-2</v>
      </c>
      <c r="AK19" s="6">
        <f t="shared" si="20"/>
        <v>9.7900747954764625E-2</v>
      </c>
      <c r="AL19" s="6">
        <f t="shared" si="21"/>
        <v>9.7900747954764625E-2</v>
      </c>
      <c r="AM19" s="6">
        <f t="shared" si="22"/>
        <v>4.8401148603752303E-2</v>
      </c>
      <c r="AN19" s="6">
        <f t="shared" si="23"/>
        <v>4.9500570730091814E-2</v>
      </c>
      <c r="AO19" s="6">
        <f t="shared" si="24"/>
        <v>4.9500570730091814E-2</v>
      </c>
      <c r="AP19" s="6">
        <f t="shared" si="25"/>
        <v>0.27337559161504243</v>
      </c>
      <c r="AQ19" s="6">
        <f t="shared" si="26"/>
        <v>0.27447501374138195</v>
      </c>
      <c r="AR19" s="6">
        <f t="shared" si="27"/>
        <v>0.27447501374138195</v>
      </c>
      <c r="AS19" s="4">
        <f t="shared" si="28"/>
        <v>14.900563154719784</v>
      </c>
      <c r="AT19">
        <f t="shared" si="29"/>
        <v>10</v>
      </c>
      <c r="AU19">
        <f t="shared" si="30"/>
        <v>0.11226813876539046</v>
      </c>
      <c r="AV19">
        <f t="shared" si="31"/>
        <v>0.58447933309661326</v>
      </c>
      <c r="AW19">
        <f t="shared" si="32"/>
        <v>8.5338093884449613</v>
      </c>
      <c r="AX19" s="6">
        <f t="shared" si="33"/>
        <v>2.7419661973218097</v>
      </c>
      <c r="AZ19">
        <v>37</v>
      </c>
      <c r="BA19">
        <f t="shared" si="34"/>
        <v>48</v>
      </c>
      <c r="BB19" s="8">
        <v>50000</v>
      </c>
      <c r="BC19" s="20">
        <f t="shared" si="35"/>
        <v>9200.8810970788254</v>
      </c>
      <c r="BD19" s="20">
        <f t="shared" si="36"/>
        <v>441642.29265978362</v>
      </c>
      <c r="BF19">
        <v>37</v>
      </c>
      <c r="BG19">
        <f t="shared" si="37"/>
        <v>28</v>
      </c>
      <c r="BH19">
        <f t="shared" si="38"/>
        <v>10</v>
      </c>
      <c r="BI19">
        <f t="shared" si="39"/>
        <v>5.738954893198938E-2</v>
      </c>
      <c r="BJ19">
        <f t="shared" si="40"/>
        <v>3.7079950663837478E-2</v>
      </c>
      <c r="BK19">
        <f t="shared" si="41"/>
        <v>1.3085738236474857E-2</v>
      </c>
      <c r="BL19">
        <f t="shared" si="42"/>
        <v>2.3994212427362622E-2</v>
      </c>
      <c r="BM19">
        <f t="shared" si="43"/>
        <v>8.1383761359352005E-2</v>
      </c>
      <c r="BN19">
        <f t="shared" si="76"/>
        <v>0.58447933309661326</v>
      </c>
      <c r="BO19">
        <f t="shared" si="77"/>
        <v>0.37801632137707142</v>
      </c>
      <c r="BP19">
        <f t="shared" si="78"/>
        <v>8.5338093884449613</v>
      </c>
      <c r="BQ19">
        <f t="shared" si="47"/>
        <v>12.187900814957043</v>
      </c>
      <c r="BR19">
        <f t="shared" si="48"/>
        <v>0.81286107677604713</v>
      </c>
      <c r="BS19">
        <f t="shared" si="49"/>
        <v>0.18713892322395287</v>
      </c>
      <c r="BT19">
        <f t="shared" si="50"/>
        <v>4.8691111787194874E-2</v>
      </c>
      <c r="BU19">
        <f t="shared" si="51"/>
        <v>4.8691111787194874E-2</v>
      </c>
      <c r="BV19">
        <f t="shared" si="52"/>
        <v>0.15660536473605632</v>
      </c>
      <c r="BW19">
        <f t="shared" si="53"/>
        <v>0.88192886945706372</v>
      </c>
      <c r="BX19">
        <f t="shared" si="54"/>
        <v>0.50955495058099975</v>
      </c>
      <c r="BY19">
        <f t="shared" si="55"/>
        <v>1.0065476878156725</v>
      </c>
      <c r="BZ19">
        <f t="shared" si="56"/>
        <v>1.5161026383966723</v>
      </c>
      <c r="CA19">
        <f t="shared" si="57"/>
        <v>2.5506858605835001</v>
      </c>
      <c r="CB19">
        <f t="shared" si="58"/>
        <v>0.49902618832022805</v>
      </c>
      <c r="CC19" s="6">
        <f t="shared" si="59"/>
        <v>1.0914328619638098</v>
      </c>
      <c r="CE19">
        <v>37</v>
      </c>
      <c r="CF19">
        <f t="shared" si="60"/>
        <v>48</v>
      </c>
      <c r="CG19" s="20">
        <f t="shared" si="61"/>
        <v>50000</v>
      </c>
      <c r="CH19" s="20">
        <f t="shared" si="62"/>
        <v>9338.8943135350073</v>
      </c>
      <c r="CI19" s="20">
        <f t="shared" si="63"/>
        <v>448266.92704968038</v>
      </c>
      <c r="CJ19" s="20">
        <f t="shared" si="64"/>
        <v>137098.30986609048</v>
      </c>
      <c r="CK19" s="20">
        <f t="shared" si="65"/>
        <v>139154.78451408184</v>
      </c>
      <c r="CL19" s="20">
        <f t="shared" si="66"/>
        <v>-2056.4746479913592</v>
      </c>
      <c r="CM19" s="20">
        <f t="shared" si="67"/>
        <v>-98710.783103585243</v>
      </c>
      <c r="CN19" s="20">
        <f t="shared" si="68"/>
        <v>2993436913.3146234</v>
      </c>
      <c r="CO19">
        <f t="shared" si="69"/>
        <v>54712.310436634121</v>
      </c>
      <c r="CP19" s="20">
        <f t="shared" si="70"/>
        <v>143684971839.10193</v>
      </c>
      <c r="CQ19">
        <f t="shared" si="71"/>
        <v>379058.00590292498</v>
      </c>
    </row>
    <row r="20" spans="1:95" x14ac:dyDescent="0.25">
      <c r="D20">
        <v>38</v>
      </c>
      <c r="E20" s="6">
        <f t="shared" si="6"/>
        <v>1.2004003588451662E-3</v>
      </c>
      <c r="F20" s="6">
        <f t="shared" si="7"/>
        <v>1.0261841812697625E-3</v>
      </c>
      <c r="G20" s="5">
        <f t="shared" si="8"/>
        <v>1.2332273459346732E-3</v>
      </c>
      <c r="I20">
        <v>36</v>
      </c>
      <c r="J20" s="9">
        <f t="shared" si="73"/>
        <v>98998.114657997619</v>
      </c>
      <c r="K20" s="9">
        <f t="shared" si="74"/>
        <v>98910.922192650629</v>
      </c>
      <c r="L20" s="9">
        <f t="shared" si="72"/>
        <v>98806.521032671808</v>
      </c>
      <c r="M20">
        <v>38</v>
      </c>
      <c r="O20">
        <v>38</v>
      </c>
      <c r="P20">
        <f t="shared" si="0"/>
        <v>0.15057523757771443</v>
      </c>
      <c r="Q20">
        <f t="shared" si="1"/>
        <v>3.8215839454122838E-2</v>
      </c>
      <c r="R20">
        <f t="shared" si="2"/>
        <v>0.15038601341743418</v>
      </c>
      <c r="S20" s="3">
        <f t="shared" si="3"/>
        <v>3.8013094989257028E-2</v>
      </c>
      <c r="T20">
        <f t="shared" si="4"/>
        <v>0.15704028216041127</v>
      </c>
      <c r="U20">
        <f t="shared" si="5"/>
        <v>4.0925249888436134E-2</v>
      </c>
      <c r="W20">
        <v>38</v>
      </c>
      <c r="X20" s="4">
        <f t="shared" si="75"/>
        <v>17.841893718233884</v>
      </c>
      <c r="Y20" s="4">
        <f t="shared" si="10"/>
        <v>17.702154074631363</v>
      </c>
      <c r="Z20" s="4">
        <f t="shared" si="11"/>
        <v>0.77817720587079553</v>
      </c>
      <c r="AA20" s="5">
        <f t="shared" si="12"/>
        <v>0.60972220294908119</v>
      </c>
      <c r="AB20" s="4">
        <f t="shared" si="13"/>
        <v>0.60320478188948901</v>
      </c>
      <c r="AC20">
        <f t="shared" si="14"/>
        <v>0.37031541020112024</v>
      </c>
      <c r="AD20">
        <f t="shared" si="15"/>
        <v>0.35481549517715416</v>
      </c>
      <c r="AE20">
        <f t="shared" si="16"/>
        <v>0.13372622849264529</v>
      </c>
      <c r="AG20">
        <v>38</v>
      </c>
      <c r="AH20">
        <f t="shared" si="17"/>
        <v>27</v>
      </c>
      <c r="AI20" s="6">
        <f t="shared" si="18"/>
        <v>0.2364901966729431</v>
      </c>
      <c r="AJ20" s="6">
        <f t="shared" si="19"/>
        <v>0.10062628252478761</v>
      </c>
      <c r="AK20" s="6">
        <f t="shared" si="20"/>
        <v>0.1029119878167167</v>
      </c>
      <c r="AL20" s="6">
        <f t="shared" si="21"/>
        <v>0.1029119878167167</v>
      </c>
      <c r="AM20" s="6">
        <f t="shared" si="22"/>
        <v>4.975973089264657E-2</v>
      </c>
      <c r="AN20" s="6">
        <f t="shared" si="23"/>
        <v>5.0890012935991179E-2</v>
      </c>
      <c r="AO20" s="6">
        <f t="shared" si="24"/>
        <v>5.0890012935991179E-2</v>
      </c>
      <c r="AP20" s="6">
        <f t="shared" si="25"/>
        <v>0.28624992756558965</v>
      </c>
      <c r="AQ20" s="6">
        <f t="shared" si="26"/>
        <v>0.28738020960893429</v>
      </c>
      <c r="AR20" s="6">
        <f t="shared" si="27"/>
        <v>0.28738020960893429</v>
      </c>
      <c r="AS20" s="4">
        <f t="shared" si="28"/>
        <v>14.635521027032194</v>
      </c>
      <c r="AT20">
        <f t="shared" si="29"/>
        <v>10</v>
      </c>
      <c r="AU20">
        <f t="shared" si="30"/>
        <v>0.11801480142079988</v>
      </c>
      <c r="AV20">
        <f t="shared" si="31"/>
        <v>0.58447933309661326</v>
      </c>
      <c r="AW20">
        <f t="shared" si="32"/>
        <v>8.5338093884449613</v>
      </c>
      <c r="AX20" s="6">
        <f t="shared" si="33"/>
        <v>2.8823190607595146</v>
      </c>
      <c r="AZ20">
        <v>38</v>
      </c>
      <c r="BA20">
        <f t="shared" si="34"/>
        <v>48</v>
      </c>
      <c r="BB20" s="8">
        <v>50000</v>
      </c>
      <c r="BC20" s="20">
        <f t="shared" si="35"/>
        <v>9846.9984616051424</v>
      </c>
      <c r="BD20" s="20">
        <f t="shared" si="36"/>
        <v>472655.92615704681</v>
      </c>
      <c r="BF20">
        <v>38</v>
      </c>
      <c r="BG20">
        <f t="shared" si="37"/>
        <v>27</v>
      </c>
      <c r="BH20">
        <f t="shared" si="38"/>
        <v>10</v>
      </c>
      <c r="BI20">
        <f t="shared" si="39"/>
        <v>6.3343501638883415E-2</v>
      </c>
      <c r="BJ20">
        <f t="shared" si="40"/>
        <v>3.9767459705008272E-2</v>
      </c>
      <c r="BK20">
        <f t="shared" si="41"/>
        <v>1.444333501227627E-2</v>
      </c>
      <c r="BL20">
        <f t="shared" si="42"/>
        <v>2.5324124692732E-2</v>
      </c>
      <c r="BM20">
        <f t="shared" si="43"/>
        <v>8.8667626331615415E-2</v>
      </c>
      <c r="BN20">
        <f t="shared" si="76"/>
        <v>0.58447933309661326</v>
      </c>
      <c r="BO20">
        <f t="shared" si="77"/>
        <v>0.37801632137707142</v>
      </c>
      <c r="BP20">
        <f t="shared" si="78"/>
        <v>8.5338093884449613</v>
      </c>
      <c r="BQ20">
        <f t="shared" si="47"/>
        <v>12.187900814957043</v>
      </c>
      <c r="BR20">
        <f t="shared" si="48"/>
        <v>0.81286107677604713</v>
      </c>
      <c r="BS20">
        <f t="shared" si="49"/>
        <v>0.18713892322395287</v>
      </c>
      <c r="BT20">
        <f t="shared" si="50"/>
        <v>4.8691111787194874E-2</v>
      </c>
      <c r="BU20">
        <f t="shared" si="51"/>
        <v>4.8691111787194874E-2</v>
      </c>
      <c r="BV20">
        <f t="shared" si="52"/>
        <v>0.1644356329728591</v>
      </c>
      <c r="BW20">
        <f t="shared" si="53"/>
        <v>0.88292581994040142</v>
      </c>
      <c r="BX20">
        <f t="shared" si="54"/>
        <v>0.56241938554838966</v>
      </c>
      <c r="BY20">
        <f t="shared" si="55"/>
        <v>1.1015926129452731</v>
      </c>
      <c r="BZ20">
        <f t="shared" si="56"/>
        <v>1.6640119984936628</v>
      </c>
      <c r="CA20">
        <f t="shared" si="57"/>
        <v>2.5646106650433786</v>
      </c>
      <c r="CB20">
        <f t="shared" si="58"/>
        <v>0.49902618832022805</v>
      </c>
      <c r="CC20" s="6">
        <f t="shared" si="59"/>
        <v>1.1562097994427347</v>
      </c>
      <c r="CE20">
        <v>38</v>
      </c>
      <c r="CF20">
        <f t="shared" si="60"/>
        <v>48</v>
      </c>
      <c r="CG20" s="20">
        <f t="shared" si="61"/>
        <v>50000</v>
      </c>
      <c r="CH20" s="20">
        <f t="shared" si="62"/>
        <v>9994.7034385292191</v>
      </c>
      <c r="CI20" s="20">
        <f t="shared" si="63"/>
        <v>479745.76504940249</v>
      </c>
      <c r="CJ20" s="20">
        <f t="shared" si="64"/>
        <v>144115.95303797573</v>
      </c>
      <c r="CK20" s="20">
        <f t="shared" si="65"/>
        <v>146277.69233354536</v>
      </c>
      <c r="CL20" s="20">
        <f t="shared" si="66"/>
        <v>-2161.7392955696268</v>
      </c>
      <c r="CM20" s="20">
        <f t="shared" si="67"/>
        <v>-103763.48618734209</v>
      </c>
      <c r="CN20" s="20">
        <f t="shared" si="68"/>
        <v>3260622056.5090942</v>
      </c>
      <c r="CO20">
        <f t="shared" si="69"/>
        <v>57101.856856927989</v>
      </c>
      <c r="CP20" s="20">
        <f t="shared" si="70"/>
        <v>156509858712.43652</v>
      </c>
      <c r="CQ20">
        <f t="shared" si="71"/>
        <v>395613.26913089823</v>
      </c>
    </row>
    <row r="21" spans="1:95" x14ac:dyDescent="0.25">
      <c r="D21">
        <v>39</v>
      </c>
      <c r="E21" s="6">
        <f t="shared" si="6"/>
        <v>1.2983899195788684E-3</v>
      </c>
      <c r="F21" s="6">
        <f t="shared" si="7"/>
        <v>1.1099730805437247E-3</v>
      </c>
      <c r="G21" s="5">
        <f t="shared" si="8"/>
        <v>1.3356138215959712E-3</v>
      </c>
      <c r="I21">
        <v>37</v>
      </c>
      <c r="J21" s="9">
        <f t="shared" si="73"/>
        <v>98894.510496179704</v>
      </c>
      <c r="K21" s="9">
        <f t="shared" si="74"/>
        <v>98800.560082668017</v>
      </c>
      <c r="L21" s="9">
        <f t="shared" si="72"/>
        <v>98687.91364936794</v>
      </c>
      <c r="M21">
        <v>39</v>
      </c>
      <c r="O21">
        <v>39</v>
      </c>
      <c r="P21">
        <f t="shared" si="0"/>
        <v>0.15709217259811353</v>
      </c>
      <c r="Q21">
        <f t="shared" si="1"/>
        <v>4.0981757155320618E-2</v>
      </c>
      <c r="R21">
        <f t="shared" si="2"/>
        <v>0.15688913261528648</v>
      </c>
      <c r="S21" s="3">
        <f t="shared" si="3"/>
        <v>4.0763118074807002E-2</v>
      </c>
      <c r="T21">
        <f t="shared" si="4"/>
        <v>0.16380543578968035</v>
      </c>
      <c r="U21">
        <f t="shared" si="5"/>
        <v>4.3880070293729402E-2</v>
      </c>
      <c r="W21">
        <v>39</v>
      </c>
      <c r="X21" s="4">
        <f t="shared" si="75"/>
        <v>17.705328215078985</v>
      </c>
      <c r="Y21" s="4">
        <f t="shared" si="10"/>
        <v>17.560085848416715</v>
      </c>
      <c r="Z21" s="4">
        <f t="shared" si="11"/>
        <v>0.77772650291602174</v>
      </c>
      <c r="AA21" s="5">
        <f t="shared" si="12"/>
        <v>0.60936906539071134</v>
      </c>
      <c r="AB21" s="4">
        <f t="shared" si="13"/>
        <v>0.60227414269908652</v>
      </c>
      <c r="AC21">
        <f t="shared" si="14"/>
        <v>0.36974407846786778</v>
      </c>
      <c r="AD21">
        <f t="shared" si="15"/>
        <v>0.35283417539224105</v>
      </c>
      <c r="AE21">
        <f t="shared" si="16"/>
        <v>0.13297948990350333</v>
      </c>
      <c r="AG21">
        <v>39</v>
      </c>
      <c r="AH21">
        <f t="shared" si="17"/>
        <v>26</v>
      </c>
      <c r="AI21" s="6">
        <f t="shared" si="18"/>
        <v>0.24861802433715149</v>
      </c>
      <c r="AJ21" s="6">
        <f t="shared" si="19"/>
        <v>0.10578665800808219</v>
      </c>
      <c r="AK21" s="6">
        <f t="shared" si="20"/>
        <v>0.10818958016676378</v>
      </c>
      <c r="AL21" s="6">
        <f t="shared" si="21"/>
        <v>0.10818958016676378</v>
      </c>
      <c r="AM21" s="6">
        <f t="shared" si="22"/>
        <v>5.1102474607204282E-2</v>
      </c>
      <c r="AN21" s="6">
        <f t="shared" si="23"/>
        <v>5.2263256797598585E-2</v>
      </c>
      <c r="AO21" s="6">
        <f t="shared" si="24"/>
        <v>5.2263256797598585E-2</v>
      </c>
      <c r="AP21" s="6">
        <f t="shared" si="25"/>
        <v>0.29972049894435576</v>
      </c>
      <c r="AQ21" s="6">
        <f t="shared" si="26"/>
        <v>0.3008812811347501</v>
      </c>
      <c r="AR21" s="6">
        <f t="shared" si="27"/>
        <v>0.3008812811347501</v>
      </c>
      <c r="AS21" s="4">
        <f t="shared" si="28"/>
        <v>14.358241026016353</v>
      </c>
      <c r="AT21">
        <f t="shared" si="29"/>
        <v>10</v>
      </c>
      <c r="AU21">
        <f t="shared" si="30"/>
        <v>0.12406690503267441</v>
      </c>
      <c r="AV21">
        <f t="shared" si="31"/>
        <v>0.58447933309661326</v>
      </c>
      <c r="AW21">
        <f t="shared" si="32"/>
        <v>8.5338093884449613</v>
      </c>
      <c r="AX21" s="6">
        <f t="shared" si="33"/>
        <v>3.0301318214317785</v>
      </c>
      <c r="AZ21">
        <v>39</v>
      </c>
      <c r="BA21">
        <f t="shared" si="34"/>
        <v>48</v>
      </c>
      <c r="BB21" s="8">
        <v>50000</v>
      </c>
      <c r="BC21" s="20">
        <f t="shared" si="35"/>
        <v>10551.890778060293</v>
      </c>
      <c r="BD21" s="20">
        <f t="shared" si="36"/>
        <v>506490.75734689407</v>
      </c>
      <c r="BF21">
        <v>39</v>
      </c>
      <c r="BG21">
        <f t="shared" si="37"/>
        <v>26</v>
      </c>
      <c r="BH21">
        <f t="shared" si="38"/>
        <v>10</v>
      </c>
      <c r="BI21">
        <f t="shared" si="39"/>
        <v>6.992151588645952E-2</v>
      </c>
      <c r="BJ21">
        <f t="shared" si="40"/>
        <v>4.2644400724237509E-2</v>
      </c>
      <c r="BK21">
        <f t="shared" si="41"/>
        <v>1.5943227835298657E-2</v>
      </c>
      <c r="BL21">
        <f t="shared" si="42"/>
        <v>2.6701172888938852E-2</v>
      </c>
      <c r="BM21">
        <f t="shared" si="43"/>
        <v>9.6622688775398369E-2</v>
      </c>
      <c r="BN21">
        <f t="shared" si="76"/>
        <v>0.58447933309661326</v>
      </c>
      <c r="BO21">
        <f t="shared" si="77"/>
        <v>0.37801632137707142</v>
      </c>
      <c r="BP21">
        <f t="shared" si="78"/>
        <v>8.5338093884449613</v>
      </c>
      <c r="BQ21">
        <f t="shared" si="47"/>
        <v>12.187900814957043</v>
      </c>
      <c r="BR21">
        <f t="shared" si="48"/>
        <v>0.81286107677604713</v>
      </c>
      <c r="BS21">
        <f t="shared" si="49"/>
        <v>0.18713892322395287</v>
      </c>
      <c r="BT21">
        <f t="shared" si="50"/>
        <v>4.8691111787194874E-2</v>
      </c>
      <c r="BU21">
        <f t="shared" si="51"/>
        <v>4.8691111787194874E-2</v>
      </c>
      <c r="BV21">
        <f t="shared" si="52"/>
        <v>0.17265741462150208</v>
      </c>
      <c r="BW21">
        <f t="shared" si="53"/>
        <v>0.88400431886629471</v>
      </c>
      <c r="BX21">
        <f t="shared" si="54"/>
        <v>0.62082478839999522</v>
      </c>
      <c r="BY21">
        <f t="shared" si="55"/>
        <v>1.204787567153023</v>
      </c>
      <c r="BZ21">
        <f t="shared" si="56"/>
        <v>1.8256123555530182</v>
      </c>
      <c r="CA21">
        <f t="shared" si="57"/>
        <v>2.5700526461317348</v>
      </c>
      <c r="CB21">
        <f t="shared" si="58"/>
        <v>0.49902618832022805</v>
      </c>
      <c r="CC21" s="6">
        <f t="shared" si="59"/>
        <v>1.2222650459094098</v>
      </c>
      <c r="CE21">
        <v>39</v>
      </c>
      <c r="CF21">
        <f t="shared" si="60"/>
        <v>48</v>
      </c>
      <c r="CG21" s="20">
        <f t="shared" si="61"/>
        <v>50000</v>
      </c>
      <c r="CH21" s="20">
        <f t="shared" si="62"/>
        <v>10710.169139731197</v>
      </c>
      <c r="CI21" s="20">
        <f t="shared" si="63"/>
        <v>514088.11870709748</v>
      </c>
      <c r="CJ21" s="20">
        <f t="shared" si="64"/>
        <v>151506.59107158892</v>
      </c>
      <c r="CK21" s="20">
        <f t="shared" si="65"/>
        <v>153779.18993766274</v>
      </c>
      <c r="CL21" s="20">
        <f t="shared" si="66"/>
        <v>-2272.5988660738221</v>
      </c>
      <c r="CM21" s="20">
        <f t="shared" si="67"/>
        <v>-109084.74557154346</v>
      </c>
      <c r="CN21" s="20">
        <f t="shared" si="68"/>
        <v>3549769238.3875737</v>
      </c>
      <c r="CO21">
        <f t="shared" si="69"/>
        <v>59579.939899160468</v>
      </c>
      <c r="CP21" s="20">
        <f t="shared" si="70"/>
        <v>170388923442.60355</v>
      </c>
      <c r="CQ21">
        <f t="shared" si="71"/>
        <v>412781.93206898426</v>
      </c>
    </row>
    <row r="22" spans="1:95" x14ac:dyDescent="0.25">
      <c r="A22" s="12" t="s">
        <v>50</v>
      </c>
      <c r="B22">
        <v>2000</v>
      </c>
      <c r="D22">
        <v>40</v>
      </c>
      <c r="E22" s="6">
        <f t="shared" si="6"/>
        <v>1.4061673328367164E-3</v>
      </c>
      <c r="F22" s="6">
        <f t="shared" si="7"/>
        <v>1.202132752668672E-3</v>
      </c>
      <c r="G22" s="5">
        <f t="shared" si="8"/>
        <v>1.4482268220608052E-3</v>
      </c>
      <c r="I22">
        <v>38</v>
      </c>
      <c r="J22" s="9">
        <f t="shared" si="73"/>
        <v>98782.844342792931</v>
      </c>
      <c r="K22" s="9">
        <f t="shared" si="74"/>
        <v>98681.474950547519</v>
      </c>
      <c r="L22" s="9">
        <f t="shared" si="72"/>
        <v>98559.778257101338</v>
      </c>
      <c r="M22">
        <v>40</v>
      </c>
      <c r="O22">
        <v>40</v>
      </c>
      <c r="P22">
        <f t="shared" si="0"/>
        <v>0.16386114696987666</v>
      </c>
      <c r="Q22">
        <f t="shared" si="1"/>
        <v>4.394104996048652E-2</v>
      </c>
      <c r="R22">
        <f t="shared" si="2"/>
        <v>0.16364309262719487</v>
      </c>
      <c r="S22" s="3">
        <f t="shared" si="3"/>
        <v>4.3705028463549567E-2</v>
      </c>
      <c r="T22">
        <f t="shared" si="4"/>
        <v>0.17082847300837772</v>
      </c>
      <c r="U22">
        <f t="shared" si="5"/>
        <v>4.7039208501594099E-2</v>
      </c>
      <c r="W22">
        <v>40</v>
      </c>
      <c r="X22" s="4">
        <f t="shared" si="75"/>
        <v>17.563495054828909</v>
      </c>
      <c r="Y22" s="4">
        <f t="shared" si="10"/>
        <v>17.412602066824068</v>
      </c>
      <c r="Z22" s="4">
        <f t="shared" si="11"/>
        <v>0.77723103115784764</v>
      </c>
      <c r="AA22" s="5">
        <f t="shared" si="12"/>
        <v>0.60898085030343574</v>
      </c>
      <c r="AB22" s="4">
        <f t="shared" si="13"/>
        <v>0.60125209786841127</v>
      </c>
      <c r="AC22">
        <f t="shared" si="14"/>
        <v>0.36911663160060332</v>
      </c>
      <c r="AD22">
        <f t="shared" si="15"/>
        <v>0.35066750000270697</v>
      </c>
      <c r="AE22">
        <f t="shared" si="16"/>
        <v>0.1321628927363882</v>
      </c>
      <c r="AG22">
        <v>40</v>
      </c>
      <c r="AH22">
        <f t="shared" si="17"/>
        <v>25</v>
      </c>
      <c r="AI22" s="6">
        <f t="shared" si="18"/>
        <v>0.26139395626558626</v>
      </c>
      <c r="AJ22" s="6">
        <f t="shared" si="19"/>
        <v>0.11122280104417624</v>
      </c>
      <c r="AK22" s="6">
        <f t="shared" si="20"/>
        <v>0.11374920407280076</v>
      </c>
      <c r="AL22" s="6">
        <f t="shared" si="21"/>
        <v>0.11374920407280076</v>
      </c>
      <c r="AM22" s="6">
        <f t="shared" si="22"/>
        <v>5.2420291583018627E-2</v>
      </c>
      <c r="AN22" s="6">
        <f t="shared" si="23"/>
        <v>5.3611007714723651E-2</v>
      </c>
      <c r="AO22" s="6">
        <f t="shared" si="24"/>
        <v>5.3611007714723651E-2</v>
      </c>
      <c r="AP22" s="6">
        <f t="shared" si="25"/>
        <v>0.3138142478486049</v>
      </c>
      <c r="AQ22" s="6">
        <f t="shared" si="26"/>
        <v>0.31500496398030992</v>
      </c>
      <c r="AR22" s="6">
        <f t="shared" si="27"/>
        <v>0.31500496398030992</v>
      </c>
      <c r="AS22" s="4">
        <f t="shared" si="28"/>
        <v>14.068174064569931</v>
      </c>
      <c r="AT22">
        <f t="shared" si="29"/>
        <v>10</v>
      </c>
      <c r="AU22">
        <f t="shared" si="30"/>
        <v>0.1304424296451599</v>
      </c>
      <c r="AV22">
        <f t="shared" si="31"/>
        <v>0.58447933309661326</v>
      </c>
      <c r="AW22">
        <f t="shared" si="32"/>
        <v>8.5338093884449613</v>
      </c>
      <c r="AX22" s="6">
        <f t="shared" si="33"/>
        <v>3.1858436125941845</v>
      </c>
      <c r="AZ22">
        <v>40</v>
      </c>
      <c r="BA22">
        <f t="shared" si="34"/>
        <v>48</v>
      </c>
      <c r="BB22" s="8">
        <v>50000</v>
      </c>
      <c r="BC22" s="20">
        <f t="shared" si="35"/>
        <v>11322.875299849997</v>
      </c>
      <c r="BD22" s="20">
        <f t="shared" si="36"/>
        <v>543498.01439279981</v>
      </c>
      <c r="BF22">
        <v>40</v>
      </c>
      <c r="BG22">
        <f t="shared" si="37"/>
        <v>25</v>
      </c>
      <c r="BH22">
        <f t="shared" si="38"/>
        <v>10</v>
      </c>
      <c r="BI22">
        <f t="shared" si="39"/>
        <v>7.7190359790271224E-2</v>
      </c>
      <c r="BJ22">
        <f t="shared" si="40"/>
        <v>4.5722084950505552E-2</v>
      </c>
      <c r="BK22">
        <f t="shared" si="41"/>
        <v>1.7600640907490559E-2</v>
      </c>
      <c r="BL22">
        <f t="shared" si="42"/>
        <v>2.8121444043014993E-2</v>
      </c>
      <c r="BM22">
        <f t="shared" si="43"/>
        <v>0.10531180383328621</v>
      </c>
      <c r="BN22">
        <f t="shared" si="76"/>
        <v>0.58447933309661326</v>
      </c>
      <c r="BO22">
        <f t="shared" si="77"/>
        <v>0.37801632137707142</v>
      </c>
      <c r="BP22">
        <f t="shared" si="78"/>
        <v>8.5338093884449613</v>
      </c>
      <c r="BQ22">
        <f t="shared" si="47"/>
        <v>12.187900814957043</v>
      </c>
      <c r="BR22">
        <f t="shared" si="48"/>
        <v>0.81286107677604713</v>
      </c>
      <c r="BS22">
        <f t="shared" si="49"/>
        <v>0.18713892322395287</v>
      </c>
      <c r="BT22">
        <f t="shared" si="50"/>
        <v>4.8691111787194874E-2</v>
      </c>
      <c r="BU22">
        <f t="shared" si="51"/>
        <v>4.8691111787194874E-2</v>
      </c>
      <c r="BV22">
        <f t="shared" si="52"/>
        <v>0.18129028535257716</v>
      </c>
      <c r="BW22">
        <f t="shared" si="53"/>
        <v>0.88517271532120601</v>
      </c>
      <c r="BX22">
        <f t="shared" si="54"/>
        <v>0.68536398525928943</v>
      </c>
      <c r="BY22">
        <f t="shared" si="55"/>
        <v>1.316636780297197</v>
      </c>
      <c r="BZ22">
        <f t="shared" si="56"/>
        <v>2.0020007655564864</v>
      </c>
      <c r="CA22">
        <f t="shared" si="57"/>
        <v>2.5660595468573004</v>
      </c>
      <c r="CB22">
        <f t="shared" si="58"/>
        <v>0.49902618832022805</v>
      </c>
      <c r="CC22" s="6">
        <f t="shared" si="59"/>
        <v>1.2891080349897521</v>
      </c>
      <c r="CE22">
        <v>40</v>
      </c>
      <c r="CF22">
        <f t="shared" si="60"/>
        <v>48</v>
      </c>
      <c r="CG22" s="20">
        <f t="shared" si="61"/>
        <v>50000</v>
      </c>
      <c r="CH22" s="20">
        <f t="shared" si="62"/>
        <v>11492.718429347746</v>
      </c>
      <c r="CI22" s="20">
        <f t="shared" si="63"/>
        <v>551650.48460869177</v>
      </c>
      <c r="CJ22" s="20">
        <f t="shared" si="64"/>
        <v>159292.18062970921</v>
      </c>
      <c r="CK22" s="20">
        <f t="shared" si="65"/>
        <v>161681.56333915482</v>
      </c>
      <c r="CL22" s="20">
        <f t="shared" si="66"/>
        <v>-2389.3827094456065</v>
      </c>
      <c r="CM22" s="20">
        <f t="shared" si="67"/>
        <v>-114690.37005338911</v>
      </c>
      <c r="CN22" s="20">
        <f t="shared" si="68"/>
        <v>3862398104.1947031</v>
      </c>
      <c r="CO22">
        <f t="shared" si="69"/>
        <v>62148.194697792336</v>
      </c>
      <c r="CP22" s="20">
        <f t="shared" si="70"/>
        <v>185395109001.34576</v>
      </c>
      <c r="CQ22">
        <f t="shared" si="71"/>
        <v>430575.32326103613</v>
      </c>
    </row>
    <row r="23" spans="1:95" x14ac:dyDescent="0.25">
      <c r="A23" s="12" t="s">
        <v>82</v>
      </c>
      <c r="B23" s="8">
        <f>SQRT(SUM(CP2:CP42))</f>
        <v>3416781.5468947338</v>
      </c>
      <c r="D23">
        <v>41</v>
      </c>
      <c r="E23" s="6">
        <f t="shared" si="6"/>
        <v>1.5247090535799313E-3</v>
      </c>
      <c r="F23" s="6">
        <f t="shared" si="7"/>
        <v>1.3034985712525593E-3</v>
      </c>
      <c r="G23" s="5">
        <f t="shared" si="8"/>
        <v>1.572086455688293E-3</v>
      </c>
      <c r="I23">
        <v>39</v>
      </c>
      <c r="J23" s="9">
        <f t="shared" si="73"/>
        <v>98662.327746610448</v>
      </c>
      <c r="K23" s="9">
        <f t="shared" si="74"/>
        <v>98552.815218747928</v>
      </c>
      <c r="L23" s="9">
        <f t="shared" si="72"/>
        <v>98421.186716584576</v>
      </c>
      <c r="M23">
        <v>41</v>
      </c>
      <c r="O23">
        <v>41</v>
      </c>
      <c r="P23">
        <f t="shared" si="0"/>
        <v>0.17088833457918187</v>
      </c>
      <c r="Q23">
        <f t="shared" si="1"/>
        <v>4.7105077870311637E-2</v>
      </c>
      <c r="R23">
        <f t="shared" si="2"/>
        <v>0.17065397426707604</v>
      </c>
      <c r="S23" s="3">
        <f t="shared" si="3"/>
        <v>4.685005507653122E-2</v>
      </c>
      <c r="T23">
        <f t="shared" si="4"/>
        <v>0.17811534751017497</v>
      </c>
      <c r="U23">
        <f t="shared" si="5"/>
        <v>5.0414402251929044E-2</v>
      </c>
      <c r="W23">
        <v>41</v>
      </c>
      <c r="X23" s="4">
        <f t="shared" si="75"/>
        <v>17.416266540391405</v>
      </c>
      <c r="Y23" s="4">
        <f t="shared" si="10"/>
        <v>17.259577702286325</v>
      </c>
      <c r="Z23" s="4">
        <f t="shared" si="11"/>
        <v>0.77668637679615848</v>
      </c>
      <c r="AA23" s="5">
        <f t="shared" si="12"/>
        <v>0.6085540993593711</v>
      </c>
      <c r="AB23" s="4">
        <f t="shared" si="13"/>
        <v>0.60012985165674759</v>
      </c>
      <c r="AC23">
        <f t="shared" si="14"/>
        <v>0.36842766977752717</v>
      </c>
      <c r="AD23">
        <f t="shared" si="15"/>
        <v>0.34829952127633951</v>
      </c>
      <c r="AE23">
        <f t="shared" si="16"/>
        <v>0.13127042645875325</v>
      </c>
      <c r="AG23">
        <v>41</v>
      </c>
      <c r="AH23">
        <f t="shared" si="17"/>
        <v>24</v>
      </c>
      <c r="AI23" s="6">
        <f t="shared" si="18"/>
        <v>0.27485667071244096</v>
      </c>
      <c r="AJ23" s="6">
        <f t="shared" si="19"/>
        <v>0.11695116918179187</v>
      </c>
      <c r="AK23" s="6">
        <f t="shared" si="20"/>
        <v>0.11960769091338089</v>
      </c>
      <c r="AL23" s="6">
        <f t="shared" si="21"/>
        <v>0.11960769091338089</v>
      </c>
      <c r="AM23" s="6">
        <f t="shared" si="22"/>
        <v>5.3702805085284175E-2</v>
      </c>
      <c r="AN23" s="6">
        <f t="shared" si="23"/>
        <v>5.4922653247166067E-2</v>
      </c>
      <c r="AO23" s="6">
        <f t="shared" si="24"/>
        <v>5.4922653247166067E-2</v>
      </c>
      <c r="AP23" s="6">
        <f t="shared" si="25"/>
        <v>0.32855947579772515</v>
      </c>
      <c r="AQ23" s="6">
        <f t="shared" si="26"/>
        <v>0.32977932395960702</v>
      </c>
      <c r="AR23" s="6">
        <f t="shared" si="27"/>
        <v>0.32977932395960702</v>
      </c>
      <c r="AS23" s="4">
        <f t="shared" si="28"/>
        <v>13.764743737411482</v>
      </c>
      <c r="AT23">
        <f t="shared" si="29"/>
        <v>10</v>
      </c>
      <c r="AU23">
        <f t="shared" si="30"/>
        <v>0.13716067672001747</v>
      </c>
      <c r="AV23">
        <f t="shared" si="31"/>
        <v>0.58447933309661326</v>
      </c>
      <c r="AW23">
        <f t="shared" si="32"/>
        <v>8.5338093884449613</v>
      </c>
      <c r="AX23" s="6">
        <f t="shared" si="33"/>
        <v>3.3499258409725385</v>
      </c>
      <c r="AZ23">
        <v>41</v>
      </c>
      <c r="BA23">
        <f t="shared" si="34"/>
        <v>48</v>
      </c>
      <c r="BB23" s="8">
        <v>50000</v>
      </c>
      <c r="BC23" s="20">
        <f t="shared" si="35"/>
        <v>12168.500572472358</v>
      </c>
      <c r="BD23" s="20">
        <f t="shared" si="36"/>
        <v>584088.02747867315</v>
      </c>
      <c r="BF23">
        <v>41</v>
      </c>
      <c r="BG23">
        <f t="shared" si="37"/>
        <v>24</v>
      </c>
      <c r="BH23">
        <f t="shared" si="38"/>
        <v>10</v>
      </c>
      <c r="BI23">
        <f t="shared" si="39"/>
        <v>8.522423351505308E-2</v>
      </c>
      <c r="BJ23">
        <f t="shared" si="40"/>
        <v>4.9012259537401799E-2</v>
      </c>
      <c r="BK23">
        <f t="shared" si="41"/>
        <v>1.9432493057295292E-2</v>
      </c>
      <c r="BL23">
        <f t="shared" si="42"/>
        <v>2.9579766480106507E-2</v>
      </c>
      <c r="BM23">
        <f t="shared" si="43"/>
        <v>0.11480399999515958</v>
      </c>
      <c r="BN23">
        <f t="shared" si="76"/>
        <v>0.58447933309661326</v>
      </c>
      <c r="BO23">
        <f t="shared" si="77"/>
        <v>0.37801632137707142</v>
      </c>
      <c r="BP23">
        <f t="shared" si="78"/>
        <v>8.5338093884449613</v>
      </c>
      <c r="BQ23">
        <f t="shared" si="47"/>
        <v>12.187900814957043</v>
      </c>
      <c r="BR23">
        <f t="shared" si="48"/>
        <v>0.81286107677604713</v>
      </c>
      <c r="BS23">
        <f t="shared" si="49"/>
        <v>0.18713892322395287</v>
      </c>
      <c r="BT23">
        <f t="shared" si="50"/>
        <v>4.8691111787194874E-2</v>
      </c>
      <c r="BU23">
        <f t="shared" si="51"/>
        <v>4.8691111787194874E-2</v>
      </c>
      <c r="BV23">
        <f t="shared" si="52"/>
        <v>0.19035479962020604</v>
      </c>
      <c r="BW23">
        <f t="shared" si="53"/>
        <v>0.88644023324402832</v>
      </c>
      <c r="BX23">
        <f t="shared" si="54"/>
        <v>0.75669579052676994</v>
      </c>
      <c r="BY23">
        <f t="shared" si="55"/>
        <v>1.4376243443410233</v>
      </c>
      <c r="BZ23">
        <f t="shared" si="56"/>
        <v>2.1943201348677932</v>
      </c>
      <c r="CA23">
        <f t="shared" si="57"/>
        <v>2.5516852146127764</v>
      </c>
      <c r="CB23">
        <f t="shared" si="58"/>
        <v>0.49902618832022805</v>
      </c>
      <c r="CC23" s="6">
        <f t="shared" si="59"/>
        <v>1.3561360916778824</v>
      </c>
      <c r="CE23">
        <v>41</v>
      </c>
      <c r="CF23">
        <f t="shared" si="60"/>
        <v>48</v>
      </c>
      <c r="CG23" s="20">
        <f t="shared" si="61"/>
        <v>50000</v>
      </c>
      <c r="CH23" s="20">
        <f t="shared" si="62"/>
        <v>12351.028081059441</v>
      </c>
      <c r="CI23" s="20">
        <f t="shared" si="63"/>
        <v>592849.34789085318</v>
      </c>
      <c r="CJ23" s="20">
        <f t="shared" si="64"/>
        <v>167496.29204862693</v>
      </c>
      <c r="CK23" s="20">
        <f t="shared" si="65"/>
        <v>170008.7364293563</v>
      </c>
      <c r="CL23" s="20">
        <f t="shared" si="66"/>
        <v>-2512.4443807293719</v>
      </c>
      <c r="CM23" s="20">
        <f t="shared" si="67"/>
        <v>-120597.33027500985</v>
      </c>
      <c r="CN23" s="20">
        <f t="shared" si="68"/>
        <v>4200087049.4862909</v>
      </c>
      <c r="CO23">
        <f t="shared" si="69"/>
        <v>64808.078581966081</v>
      </c>
      <c r="CP23" s="20">
        <f t="shared" si="70"/>
        <v>201604178375.34198</v>
      </c>
      <c r="CQ23">
        <f t="shared" si="71"/>
        <v>449003.53937952645</v>
      </c>
    </row>
    <row r="24" spans="1:95" x14ac:dyDescent="0.25">
      <c r="A24" s="12" t="s">
        <v>81</v>
      </c>
      <c r="B24" s="20">
        <f>SUM(CM2:CM42)</f>
        <v>-5872919.4543344025</v>
      </c>
      <c r="D24">
        <v>42</v>
      </c>
      <c r="E24" s="6">
        <f t="shared" si="6"/>
        <v>1.655088693386042E-3</v>
      </c>
      <c r="F24" s="6">
        <f t="shared" si="7"/>
        <v>1.4149890897926509E-3</v>
      </c>
      <c r="G24" s="5">
        <f t="shared" si="8"/>
        <v>1.7083143079572594E-3</v>
      </c>
      <c r="I24">
        <v>40</v>
      </c>
      <c r="J24" s="9">
        <f t="shared" si="73"/>
        <v>98532.096988276913</v>
      </c>
      <c r="K24" s="9">
        <f t="shared" si="74"/>
        <v>98413.648327298171</v>
      </c>
      <c r="L24" s="9">
        <f t="shared" si="72"/>
        <v>98271.123042133724</v>
      </c>
      <c r="M24">
        <v>42</v>
      </c>
      <c r="O24">
        <v>42</v>
      </c>
      <c r="P24">
        <f t="shared" si="0"/>
        <v>0.17817971447839054</v>
      </c>
      <c r="Q24">
        <f t="shared" si="1"/>
        <v>5.0485615172968422E-2</v>
      </c>
      <c r="R24">
        <f t="shared" si="2"/>
        <v>0.1779276577929669</v>
      </c>
      <c r="S24" s="3">
        <f t="shared" si="3"/>
        <v>5.020983095134321E-2</v>
      </c>
      <c r="T24">
        <f t="shared" si="4"/>
        <v>0.18567177512891239</v>
      </c>
      <c r="U24">
        <f t="shared" si="5"/>
        <v>5.4017784109232574E-2</v>
      </c>
      <c r="W24">
        <v>42</v>
      </c>
      <c r="X24" s="4">
        <f t="shared" si="75"/>
        <v>17.263519186347697</v>
      </c>
      <c r="Y24" s="4">
        <f t="shared" si="10"/>
        <v>17.100892722292841</v>
      </c>
      <c r="Z24" s="4">
        <f t="shared" si="11"/>
        <v>0.77608769782072407</v>
      </c>
      <c r="AA24" s="5">
        <f t="shared" si="12"/>
        <v>0.60808501871680376</v>
      </c>
      <c r="AB24" s="4">
        <f t="shared" si="13"/>
        <v>0.59889780003989923</v>
      </c>
      <c r="AC24">
        <f t="shared" si="14"/>
        <v>0.36767129696089768</v>
      </c>
      <c r="AD24">
        <f t="shared" si="15"/>
        <v>0.34571320945758754</v>
      </c>
      <c r="AE24">
        <f t="shared" si="16"/>
        <v>0.13029567273483553</v>
      </c>
      <c r="AG24">
        <v>42</v>
      </c>
      <c r="AH24">
        <f t="shared" si="17"/>
        <v>23</v>
      </c>
      <c r="AI24" s="6">
        <f t="shared" si="18"/>
        <v>0.28904776188057557</v>
      </c>
      <c r="AJ24" s="6">
        <f t="shared" si="19"/>
        <v>0.12298946070215706</v>
      </c>
      <c r="AK24" s="6">
        <f t="shared" si="20"/>
        <v>0.12578314098254678</v>
      </c>
      <c r="AL24" s="6">
        <f t="shared" si="21"/>
        <v>0.12578314098254678</v>
      </c>
      <c r="AM24" s="6">
        <f t="shared" si="22"/>
        <v>5.493819709080984E-2</v>
      </c>
      <c r="AN24" s="6">
        <f t="shared" si="23"/>
        <v>5.6186106927770922E-2</v>
      </c>
      <c r="AO24" s="6">
        <f t="shared" si="24"/>
        <v>5.6186106927770922E-2</v>
      </c>
      <c r="AP24" s="6">
        <f t="shared" si="25"/>
        <v>0.3439859589713854</v>
      </c>
      <c r="AQ24" s="6">
        <f t="shared" si="26"/>
        <v>0.3452338688083465</v>
      </c>
      <c r="AR24" s="6">
        <f t="shared" si="27"/>
        <v>0.3452338688083465</v>
      </c>
      <c r="AS24" s="4">
        <f t="shared" si="28"/>
        <v>13.447344025606094</v>
      </c>
      <c r="AT24">
        <f t="shared" si="29"/>
        <v>10</v>
      </c>
      <c r="AU24">
        <f t="shared" si="30"/>
        <v>0.14424240285375658</v>
      </c>
      <c r="AV24">
        <f t="shared" si="31"/>
        <v>0.58447933309661326</v>
      </c>
      <c r="AW24">
        <f t="shared" si="32"/>
        <v>8.5338093884449613</v>
      </c>
      <c r="AX24" s="6">
        <f t="shared" si="33"/>
        <v>3.5228854525857769</v>
      </c>
      <c r="AZ24">
        <v>42</v>
      </c>
      <c r="BA24">
        <f t="shared" si="34"/>
        <v>48</v>
      </c>
      <c r="BB24" s="8">
        <v>50000</v>
      </c>
      <c r="BC24" s="20">
        <f t="shared" si="35"/>
        <v>13098.815074105292</v>
      </c>
      <c r="BD24" s="20">
        <f t="shared" si="36"/>
        <v>628743.12355705397</v>
      </c>
      <c r="BF24">
        <v>42</v>
      </c>
      <c r="BG24">
        <f t="shared" si="37"/>
        <v>23</v>
      </c>
      <c r="BH24">
        <f t="shared" si="38"/>
        <v>10</v>
      </c>
      <c r="BI24">
        <f t="shared" si="39"/>
        <v>9.4105657273096485E-2</v>
      </c>
      <c r="BJ24">
        <f t="shared" si="40"/>
        <v>5.252709440568086E-2</v>
      </c>
      <c r="BK24">
        <f t="shared" si="41"/>
        <v>2.1457600217532666E-2</v>
      </c>
      <c r="BL24">
        <f t="shared" si="42"/>
        <v>3.1069494188148195E-2</v>
      </c>
      <c r="BM24">
        <f t="shared" si="43"/>
        <v>0.12517515146124469</v>
      </c>
      <c r="BN24">
        <f t="shared" si="76"/>
        <v>0.58447933309661326</v>
      </c>
      <c r="BO24">
        <f t="shared" si="77"/>
        <v>0.37801632137707142</v>
      </c>
      <c r="BP24">
        <f t="shared" si="78"/>
        <v>8.5338093884449613</v>
      </c>
      <c r="BQ24">
        <f t="shared" si="47"/>
        <v>12.187900814957043</v>
      </c>
      <c r="BR24">
        <f t="shared" si="48"/>
        <v>0.81286107677604713</v>
      </c>
      <c r="BS24">
        <f t="shared" si="49"/>
        <v>0.18713892322395287</v>
      </c>
      <c r="BT24">
        <f t="shared" si="50"/>
        <v>4.8691111787194874E-2</v>
      </c>
      <c r="BU24">
        <f t="shared" si="51"/>
        <v>4.8691111787194874E-2</v>
      </c>
      <c r="BV24">
        <f t="shared" si="52"/>
        <v>0.19987253960121634</v>
      </c>
      <c r="BW24">
        <f t="shared" si="53"/>
        <v>0.88781706721106246</v>
      </c>
      <c r="BX24">
        <f t="shared" si="54"/>
        <v>0.8355528913114767</v>
      </c>
      <c r="BY24">
        <f t="shared" si="55"/>
        <v>1.568196009673742</v>
      </c>
      <c r="BZ24">
        <f t="shared" si="56"/>
        <v>2.4037489009852187</v>
      </c>
      <c r="CA24">
        <f t="shared" si="57"/>
        <v>2.5260105185520163</v>
      </c>
      <c r="CB24">
        <f t="shared" si="58"/>
        <v>0.49902618832022805</v>
      </c>
      <c r="CC24" s="6">
        <f t="shared" si="59"/>
        <v>1.4226201590288312</v>
      </c>
      <c r="CE24">
        <v>42</v>
      </c>
      <c r="CF24">
        <f t="shared" si="60"/>
        <v>48</v>
      </c>
      <c r="CG24" s="20">
        <f t="shared" si="61"/>
        <v>50000</v>
      </c>
      <c r="CH24" s="20">
        <f t="shared" si="62"/>
        <v>13295.297300216871</v>
      </c>
      <c r="CI24" s="20">
        <f t="shared" si="63"/>
        <v>638174.27041040978</v>
      </c>
      <c r="CJ24" s="20">
        <f t="shared" si="64"/>
        <v>176144.27262928884</v>
      </c>
      <c r="CK24" s="20">
        <f t="shared" si="65"/>
        <v>178786.43671872819</v>
      </c>
      <c r="CL24" s="20">
        <f t="shared" si="66"/>
        <v>-2642.1640894393495</v>
      </c>
      <c r="CM24" s="20">
        <f t="shared" si="67"/>
        <v>-126823.87629308878</v>
      </c>
      <c r="CN24" s="20">
        <f t="shared" si="68"/>
        <v>4564466529.757865</v>
      </c>
      <c r="CO24">
        <f t="shared" si="69"/>
        <v>67560.835768645324</v>
      </c>
      <c r="CP24" s="20">
        <f t="shared" si="70"/>
        <v>219094393428.3775</v>
      </c>
      <c r="CQ24">
        <f t="shared" si="71"/>
        <v>468075.20061244164</v>
      </c>
    </row>
    <row r="25" spans="1:95" x14ac:dyDescent="0.25">
      <c r="A25" s="12" t="s">
        <v>84</v>
      </c>
      <c r="B25" s="20">
        <f>1 - _xlfn.NORM.DIST(-B24/B23,0,1,TRUE)</f>
        <v>4.2821257554088832E-2</v>
      </c>
      <c r="D25">
        <v>43</v>
      </c>
      <c r="E25" s="6">
        <f t="shared" si="6"/>
        <v>1.7984866336046013E-3</v>
      </c>
      <c r="F25" s="6">
        <f t="shared" si="7"/>
        <v>1.5376142846950103E-3</v>
      </c>
      <c r="G25" s="5">
        <f t="shared" si="8"/>
        <v>1.8581434772788619E-3</v>
      </c>
      <c r="I25">
        <v>41</v>
      </c>
      <c r="J25" s="9">
        <f t="shared" si="73"/>
        <v>98391.206272555602</v>
      </c>
      <c r="K25" s="9">
        <f t="shared" si="74"/>
        <v>98262.953475755508</v>
      </c>
      <c r="L25" s="9">
        <f t="shared" si="72"/>
        <v>98108.475617500342</v>
      </c>
      <c r="M25">
        <v>43</v>
      </c>
      <c r="O25">
        <v>43</v>
      </c>
      <c r="P25">
        <f t="shared" si="0"/>
        <v>0.18574102938655962</v>
      </c>
      <c r="Q25">
        <f t="shared" si="1"/>
        <v>5.4094833782575784E-2</v>
      </c>
      <c r="R25">
        <f t="shared" si="2"/>
        <v>0.18546978127376221</v>
      </c>
      <c r="S25" s="3">
        <f t="shared" si="3"/>
        <v>5.3796376021631308E-2</v>
      </c>
      <c r="T25">
        <f t="shared" si="4"/>
        <v>0.193503189320789</v>
      </c>
      <c r="U25">
        <f t="shared" si="5"/>
        <v>5.7861859500861049E-2</v>
      </c>
      <c r="W25">
        <v>43</v>
      </c>
      <c r="X25" s="4">
        <f t="shared" si="75"/>
        <v>17.105134593250995</v>
      </c>
      <c r="Y25" s="4">
        <f t="shared" si="10"/>
        <v>16.936433024263433</v>
      </c>
      <c r="Z25" s="4">
        <f t="shared" si="11"/>
        <v>0.77542968393049139</v>
      </c>
      <c r="AA25" s="5">
        <f t="shared" si="12"/>
        <v>0.60756944761590681</v>
      </c>
      <c r="AB25" s="4">
        <f t="shared" si="13"/>
        <v>0.59754546448513446</v>
      </c>
      <c r="AC25">
        <f t="shared" si="14"/>
        <v>0.36684108024059314</v>
      </c>
      <c r="AD25">
        <f t="shared" si="15"/>
        <v>0.34289044245560518</v>
      </c>
      <c r="AE25">
        <f t="shared" si="16"/>
        <v>0.12923180153918742</v>
      </c>
      <c r="AG25">
        <v>43</v>
      </c>
      <c r="AH25">
        <f t="shared" si="17"/>
        <v>22</v>
      </c>
      <c r="AI25" s="6">
        <f t="shared" si="18"/>
        <v>0.30401204361200962</v>
      </c>
      <c r="AJ25" s="6">
        <f t="shared" si="19"/>
        <v>0.12935674383893023</v>
      </c>
      <c r="AK25" s="6">
        <f t="shared" si="20"/>
        <v>0.13229505564495886</v>
      </c>
      <c r="AL25" s="6">
        <f t="shared" si="21"/>
        <v>0.13229505564495886</v>
      </c>
      <c r="AM25" s="6">
        <f t="shared" si="22"/>
        <v>5.611303743483198E-2</v>
      </c>
      <c r="AN25" s="6">
        <f t="shared" si="23"/>
        <v>5.7387633528346776E-2</v>
      </c>
      <c r="AO25" s="6">
        <f t="shared" si="24"/>
        <v>5.7387633528346776E-2</v>
      </c>
      <c r="AP25" s="6">
        <f t="shared" si="25"/>
        <v>0.3601250810468416</v>
      </c>
      <c r="AQ25" s="6">
        <f t="shared" si="26"/>
        <v>0.36139967714035637</v>
      </c>
      <c r="AR25" s="6">
        <f t="shared" si="27"/>
        <v>0.36139967714035637</v>
      </c>
      <c r="AS25" s="4">
        <f t="shared" si="28"/>
        <v>13.115336648106425</v>
      </c>
      <c r="AT25">
        <f t="shared" si="29"/>
        <v>10</v>
      </c>
      <c r="AU25">
        <f t="shared" si="30"/>
        <v>0.15170997132714409</v>
      </c>
      <c r="AV25">
        <f t="shared" si="31"/>
        <v>0.58447933309661326</v>
      </c>
      <c r="AW25">
        <f t="shared" si="32"/>
        <v>8.5338093884449613</v>
      </c>
      <c r="AX25" s="6">
        <f t="shared" si="33"/>
        <v>3.7052686340955683</v>
      </c>
      <c r="AZ25">
        <v>43</v>
      </c>
      <c r="BA25">
        <f t="shared" si="34"/>
        <v>48</v>
      </c>
      <c r="BB25" s="8">
        <v>50000</v>
      </c>
      <c r="BC25" s="20">
        <f t="shared" si="35"/>
        <v>14125.709211705711</v>
      </c>
      <c r="BD25" s="20">
        <f t="shared" si="36"/>
        <v>678034.04216187412</v>
      </c>
      <c r="BF25">
        <v>43</v>
      </c>
      <c r="BG25">
        <f t="shared" si="37"/>
        <v>22</v>
      </c>
      <c r="BH25">
        <f t="shared" si="38"/>
        <v>10</v>
      </c>
      <c r="BI25">
        <f t="shared" si="39"/>
        <v>0.10392647791754596</v>
      </c>
      <c r="BJ25">
        <f t="shared" si="40"/>
        <v>5.6279164228019367E-2</v>
      </c>
      <c r="BK25">
        <f t="shared" si="41"/>
        <v>2.3696904944825969E-2</v>
      </c>
      <c r="BL25">
        <f t="shared" si="42"/>
        <v>3.2582259283193402E-2</v>
      </c>
      <c r="BM25">
        <f t="shared" si="43"/>
        <v>0.13650873720073936</v>
      </c>
      <c r="BN25">
        <f t="shared" si="76"/>
        <v>0.58447933309661326</v>
      </c>
      <c r="BO25">
        <f t="shared" si="77"/>
        <v>0.37801632137707142</v>
      </c>
      <c r="BP25">
        <f t="shared" si="78"/>
        <v>8.5338093884449613</v>
      </c>
      <c r="BQ25">
        <f t="shared" si="47"/>
        <v>12.187900814957043</v>
      </c>
      <c r="BR25">
        <f t="shared" si="48"/>
        <v>0.81286107677604713</v>
      </c>
      <c r="BS25">
        <f t="shared" si="49"/>
        <v>0.18713892322395287</v>
      </c>
      <c r="BT25">
        <f t="shared" si="50"/>
        <v>4.8691111787194874E-2</v>
      </c>
      <c r="BU25">
        <f t="shared" si="51"/>
        <v>4.8691111787194874E-2</v>
      </c>
      <c r="BV25">
        <f t="shared" si="52"/>
        <v>0.20986616658127716</v>
      </c>
      <c r="BW25">
        <f t="shared" si="53"/>
        <v>0.88931448956134163</v>
      </c>
      <c r="BX25">
        <f t="shared" si="54"/>
        <v>0.92275078485264506</v>
      </c>
      <c r="BY25">
        <f t="shared" si="55"/>
        <v>1.7087353494938049</v>
      </c>
      <c r="BZ25">
        <f t="shared" si="56"/>
        <v>2.6314861343464502</v>
      </c>
      <c r="CA25">
        <f t="shared" si="57"/>
        <v>2.488168522946367</v>
      </c>
      <c r="CB25">
        <f t="shared" si="58"/>
        <v>0.49902618832022805</v>
      </c>
      <c r="CC25" s="6">
        <f t="shared" si="59"/>
        <v>1.4876900632325203</v>
      </c>
      <c r="CE25">
        <v>43</v>
      </c>
      <c r="CF25">
        <f t="shared" si="60"/>
        <v>48</v>
      </c>
      <c r="CG25" s="20">
        <f t="shared" si="61"/>
        <v>50000</v>
      </c>
      <c r="CH25" s="20">
        <f t="shared" si="62"/>
        <v>14337.594849881296</v>
      </c>
      <c r="CI25" s="20">
        <f t="shared" si="63"/>
        <v>688204.55279430223</v>
      </c>
      <c r="CJ25" s="20">
        <f t="shared" si="64"/>
        <v>185263.43170477843</v>
      </c>
      <c r="CK25" s="20">
        <f t="shared" si="65"/>
        <v>188042.38318035009</v>
      </c>
      <c r="CL25" s="20">
        <f t="shared" si="66"/>
        <v>-2778.9514755716664</v>
      </c>
      <c r="CM25" s="20">
        <f t="shared" si="67"/>
        <v>-133389.67082743999</v>
      </c>
      <c r="CN25" s="20">
        <f t="shared" si="68"/>
        <v>4957210005.3628149</v>
      </c>
      <c r="CO25">
        <f t="shared" si="69"/>
        <v>70407.45702951368</v>
      </c>
      <c r="CP25" s="20">
        <f t="shared" si="70"/>
        <v>237946080257.4151</v>
      </c>
      <c r="CQ25">
        <f t="shared" si="71"/>
        <v>487797.17122736073</v>
      </c>
    </row>
    <row r="26" spans="1:95" x14ac:dyDescent="0.25">
      <c r="D26">
        <v>44</v>
      </c>
      <c r="E26" s="6">
        <f t="shared" si="6"/>
        <v>1.9562005783556602E-3</v>
      </c>
      <c r="F26" s="6">
        <f t="shared" si="7"/>
        <v>1.6724846068850718E-3</v>
      </c>
      <c r="G26" s="5">
        <f t="shared" si="8"/>
        <v>2.0229295909519607E-3</v>
      </c>
      <c r="I26">
        <v>42</v>
      </c>
      <c r="J26" s="9">
        <f t="shared" si="73"/>
        <v>98238.620385376096</v>
      </c>
      <c r="K26" s="9">
        <f t="shared" si="74"/>
        <v>98099.613809334507</v>
      </c>
      <c r="L26" s="9">
        <f t="shared" si="72"/>
        <v>97932.028835458943</v>
      </c>
      <c r="M26">
        <v>44</v>
      </c>
      <c r="O26">
        <v>44</v>
      </c>
      <c r="P26">
        <f t="shared" si="0"/>
        <v>0.1935777412023989</v>
      </c>
      <c r="Q26">
        <f t="shared" si="1"/>
        <v>5.7945281425809979E-2</v>
      </c>
      <c r="R26">
        <f t="shared" si="2"/>
        <v>0.1932856960016355</v>
      </c>
      <c r="S26" s="3">
        <f t="shared" si="3"/>
        <v>5.7622074754187153E-2</v>
      </c>
      <c r="T26">
        <f t="shared" si="4"/>
        <v>0.2016146936665113</v>
      </c>
      <c r="U26">
        <f t="shared" si="5"/>
        <v>6.1959479084625915E-2</v>
      </c>
      <c r="W26">
        <v>44</v>
      </c>
      <c r="X26" s="4">
        <f t="shared" si="75"/>
        <v>16.941000383965655</v>
      </c>
      <c r="Y26" s="4">
        <f t="shared" si="10"/>
        <v>16.766091433003265</v>
      </c>
      <c r="Z26" s="4">
        <f t="shared" si="11"/>
        <v>0.77470651301191562</v>
      </c>
      <c r="AA26" s="5">
        <f t="shared" si="12"/>
        <v>0.6070028242783736</v>
      </c>
      <c r="AB26" s="4">
        <f t="shared" si="13"/>
        <v>0.59606142205032941</v>
      </c>
      <c r="AC26">
        <f t="shared" si="14"/>
        <v>0.36593000692104943</v>
      </c>
      <c r="AD26">
        <f t="shared" si="15"/>
        <v>0.33981201198658495</v>
      </c>
      <c r="AE26">
        <f t="shared" si="16"/>
        <v>0.12807157347165787</v>
      </c>
      <c r="AG26">
        <v>44</v>
      </c>
      <c r="AH26">
        <f t="shared" si="17"/>
        <v>21</v>
      </c>
      <c r="AI26" s="6">
        <f t="shared" si="18"/>
        <v>0.31979789443223322</v>
      </c>
      <c r="AJ26" s="6">
        <f t="shared" si="19"/>
        <v>0.13607360359412241</v>
      </c>
      <c r="AK26" s="6">
        <f t="shared" si="20"/>
        <v>0.13916448748671112</v>
      </c>
      <c r="AL26" s="6">
        <f t="shared" si="21"/>
        <v>0.13916448748671112</v>
      </c>
      <c r="AM26" s="6">
        <f t="shared" si="22"/>
        <v>5.7212092407513099E-2</v>
      </c>
      <c r="AN26" s="6">
        <f t="shared" si="23"/>
        <v>5.8511653308473292E-2</v>
      </c>
      <c r="AO26" s="6">
        <f t="shared" si="24"/>
        <v>5.8511653308473292E-2</v>
      </c>
      <c r="AP26" s="6">
        <f t="shared" si="25"/>
        <v>0.37700998683974629</v>
      </c>
      <c r="AQ26" s="6">
        <f t="shared" si="26"/>
        <v>0.37830954774070652</v>
      </c>
      <c r="AR26" s="6">
        <f t="shared" si="27"/>
        <v>0.37830954774070652</v>
      </c>
      <c r="AS26" s="4">
        <f t="shared" si="28"/>
        <v>12.768047995625967</v>
      </c>
      <c r="AT26">
        <f t="shared" si="29"/>
        <v>10</v>
      </c>
      <c r="AU26">
        <f t="shared" si="30"/>
        <v>0.15958752429135201</v>
      </c>
      <c r="AV26">
        <f t="shared" si="31"/>
        <v>0.58447933309661326</v>
      </c>
      <c r="AW26">
        <f t="shared" si="32"/>
        <v>8.5338093884449613</v>
      </c>
      <c r="AX26" s="6">
        <f t="shared" si="33"/>
        <v>3.8976650181721615</v>
      </c>
      <c r="AZ26">
        <v>44</v>
      </c>
      <c r="BA26">
        <f t="shared" si="34"/>
        <v>48</v>
      </c>
      <c r="BB26" s="8">
        <v>50000</v>
      </c>
      <c r="BC26" s="20">
        <f t="shared" si="35"/>
        <v>15263.355132700824</v>
      </c>
      <c r="BD26" s="20">
        <f t="shared" si="36"/>
        <v>732641.04636963957</v>
      </c>
      <c r="BF26">
        <v>44</v>
      </c>
      <c r="BG26">
        <f t="shared" si="37"/>
        <v>21</v>
      </c>
      <c r="BH26">
        <f t="shared" si="38"/>
        <v>10</v>
      </c>
      <c r="BI26">
        <f t="shared" si="39"/>
        <v>0.11478901243470364</v>
      </c>
      <c r="BJ26">
        <f t="shared" si="40"/>
        <v>6.0281425034023499E-2</v>
      </c>
      <c r="BK26">
        <f t="shared" si="41"/>
        <v>2.6173737154199999E-2</v>
      </c>
      <c r="BL26">
        <f t="shared" si="42"/>
        <v>3.4107687879823503E-2</v>
      </c>
      <c r="BM26">
        <f t="shared" si="43"/>
        <v>0.14889670031452715</v>
      </c>
      <c r="BN26">
        <f t="shared" si="76"/>
        <v>0.58447933309661326</v>
      </c>
      <c r="BO26">
        <f t="shared" si="77"/>
        <v>0.37801632137707142</v>
      </c>
      <c r="BP26">
        <f t="shared" si="78"/>
        <v>8.5338093884449613</v>
      </c>
      <c r="BQ26">
        <f t="shared" si="47"/>
        <v>12.187900814957043</v>
      </c>
      <c r="BR26">
        <f t="shared" si="48"/>
        <v>0.81286107677604713</v>
      </c>
      <c r="BS26">
        <f t="shared" si="49"/>
        <v>0.18713892322395287</v>
      </c>
      <c r="BT26">
        <f t="shared" si="50"/>
        <v>4.8691111787194874E-2</v>
      </c>
      <c r="BU26">
        <f t="shared" si="51"/>
        <v>4.8691111787194874E-2</v>
      </c>
      <c r="BV26">
        <f t="shared" si="52"/>
        <v>0.220359474910341</v>
      </c>
      <c r="BW26">
        <f t="shared" si="53"/>
        <v>0.89094497037741516</v>
      </c>
      <c r="BX26">
        <f t="shared" si="54"/>
        <v>1.0191979314513071</v>
      </c>
      <c r="BY26">
        <f t="shared" si="55"/>
        <v>1.859532795436579</v>
      </c>
      <c r="BZ26">
        <f t="shared" si="56"/>
        <v>2.8787307268878859</v>
      </c>
      <c r="CA26">
        <f t="shared" si="57"/>
        <v>2.4373743087022448</v>
      </c>
      <c r="CB26">
        <f t="shared" si="58"/>
        <v>0.49902618832022805</v>
      </c>
      <c r="CC26" s="6">
        <f t="shared" si="59"/>
        <v>1.5503197462066822</v>
      </c>
      <c r="CE26">
        <v>44</v>
      </c>
      <c r="CF26">
        <f t="shared" si="60"/>
        <v>48</v>
      </c>
      <c r="CG26" s="20">
        <f t="shared" si="61"/>
        <v>50000</v>
      </c>
      <c r="CH26" s="20">
        <f t="shared" si="62"/>
        <v>15492.305459691335</v>
      </c>
      <c r="CI26" s="20">
        <f t="shared" si="63"/>
        <v>743630.66206518409</v>
      </c>
      <c r="CJ26" s="20">
        <f t="shared" si="64"/>
        <v>194883.25090860808</v>
      </c>
      <c r="CK26" s="20">
        <f t="shared" si="65"/>
        <v>197806.49967223717</v>
      </c>
      <c r="CL26" s="20">
        <f t="shared" si="66"/>
        <v>-2923.2487636290898</v>
      </c>
      <c r="CM26" s="20">
        <f t="shared" si="67"/>
        <v>-140315.94065419631</v>
      </c>
      <c r="CN26" s="20">
        <f t="shared" si="68"/>
        <v>5380022043.6291523</v>
      </c>
      <c r="CO26">
        <f t="shared" si="69"/>
        <v>73348.633549842983</v>
      </c>
      <c r="CP26" s="20">
        <f t="shared" si="70"/>
        <v>258241058094.19931</v>
      </c>
      <c r="CQ26">
        <f t="shared" si="71"/>
        <v>508174.23989631678</v>
      </c>
    </row>
    <row r="27" spans="1:95" x14ac:dyDescent="0.25">
      <c r="D27">
        <v>45</v>
      </c>
      <c r="E27" s="6">
        <f t="shared" si="6"/>
        <v>2.1296571368613071E-3</v>
      </c>
      <c r="F27" s="6">
        <f t="shared" si="7"/>
        <v>1.820820919580135E-3</v>
      </c>
      <c r="G27" s="5">
        <f t="shared" si="8"/>
        <v>2.2041628943740843E-3</v>
      </c>
      <c r="I27">
        <v>43</v>
      </c>
      <c r="J27" s="9">
        <f t="shared" si="73"/>
        <v>98073.206791476128</v>
      </c>
      <c r="K27" s="9">
        <f t="shared" si="74"/>
        <v>97922.408027767699</v>
      </c>
      <c r="L27" s="9">
        <f t="shared" si="72"/>
        <v>97740.45414401147</v>
      </c>
      <c r="M27">
        <v>45</v>
      </c>
      <c r="O27">
        <v>45</v>
      </c>
      <c r="P27">
        <f t="shared" si="0"/>
        <v>0.20169498352759127</v>
      </c>
      <c r="Q27">
        <f t="shared" si="1"/>
        <v>6.2049854154183147E-2</v>
      </c>
      <c r="R27">
        <f t="shared" si="2"/>
        <v>0.20138041895504299</v>
      </c>
      <c r="S27" s="3">
        <f t="shared" si="3"/>
        <v>6.1699648130095847E-2</v>
      </c>
      <c r="T27">
        <f t="shared" si="4"/>
        <v>0.21001101142616194</v>
      </c>
      <c r="U27">
        <f t="shared" si="5"/>
        <v>6.632380491530647E-2</v>
      </c>
      <c r="W27">
        <v>45</v>
      </c>
      <c r="X27" s="4">
        <f t="shared" si="75"/>
        <v>16.771011201944098</v>
      </c>
      <c r="Y27" s="4">
        <f t="shared" si="10"/>
        <v>16.5897687600506</v>
      </c>
      <c r="Z27" s="4">
        <f t="shared" si="11"/>
        <v>0.77391180394858206</v>
      </c>
      <c r="AA27" s="5">
        <f t="shared" si="12"/>
        <v>0.60638014893252212</v>
      </c>
      <c r="AB27" s="4">
        <f t="shared" si="13"/>
        <v>0.59443323201960951</v>
      </c>
      <c r="AC27">
        <f t="shared" si="14"/>
        <v>0.36493043948190756</v>
      </c>
      <c r="AD27">
        <f t="shared" si="15"/>
        <v>0.33645765054616195</v>
      </c>
      <c r="AE27">
        <f t="shared" si="16"/>
        <v>0.12680734992300774</v>
      </c>
      <c r="AG27">
        <v>45</v>
      </c>
      <c r="AH27">
        <f t="shared" si="17"/>
        <v>20</v>
      </c>
      <c r="AI27" s="6">
        <f t="shared" si="18"/>
        <v>0.33645765054616195</v>
      </c>
      <c r="AJ27" s="6">
        <f t="shared" si="19"/>
        <v>0.14316230895738385</v>
      </c>
      <c r="AK27" s="6">
        <f t="shared" si="20"/>
        <v>0.1464142113329692</v>
      </c>
      <c r="AL27" s="6">
        <f t="shared" si="21"/>
        <v>0.1464142113329692</v>
      </c>
      <c r="AM27" s="6">
        <f t="shared" si="22"/>
        <v>5.821810999765914E-2</v>
      </c>
      <c r="AN27" s="6">
        <f t="shared" si="23"/>
        <v>5.9540522381073775E-2</v>
      </c>
      <c r="AO27" s="6">
        <f t="shared" si="24"/>
        <v>5.9540522381073775E-2</v>
      </c>
      <c r="AP27" s="6">
        <f t="shared" si="25"/>
        <v>0.39467576054382109</v>
      </c>
      <c r="AQ27" s="6">
        <f t="shared" si="26"/>
        <v>0.39599817292723571</v>
      </c>
      <c r="AR27" s="6">
        <f t="shared" si="27"/>
        <v>0.39599817292723571</v>
      </c>
      <c r="AS27" s="4">
        <f t="shared" si="28"/>
        <v>12.404765570204312</v>
      </c>
      <c r="AT27">
        <f t="shared" si="29"/>
        <v>10</v>
      </c>
      <c r="AU27">
        <f t="shared" si="30"/>
        <v>0.16790117888323053</v>
      </c>
      <c r="AV27">
        <f t="shared" si="31"/>
        <v>0.58447933309661326</v>
      </c>
      <c r="AW27">
        <f t="shared" si="32"/>
        <v>8.5338093884449613</v>
      </c>
      <c r="AX27" s="6">
        <f t="shared" si="33"/>
        <v>4.1007124732900992</v>
      </c>
      <c r="AZ27">
        <v>45</v>
      </c>
      <c r="BA27">
        <f t="shared" si="34"/>
        <v>48</v>
      </c>
      <c r="BB27" s="8">
        <v>50000</v>
      </c>
      <c r="BC27" s="20">
        <f t="shared" si="35"/>
        <v>16528.778597557</v>
      </c>
      <c r="BD27" s="20">
        <f t="shared" si="36"/>
        <v>793381.37268273602</v>
      </c>
      <c r="BF27">
        <v>45</v>
      </c>
      <c r="BG27">
        <f t="shared" si="37"/>
        <v>20</v>
      </c>
      <c r="BH27">
        <f t="shared" si="38"/>
        <v>10</v>
      </c>
      <c r="BI27">
        <f t="shared" si="39"/>
        <v>0.12680734992300774</v>
      </c>
      <c r="BJ27">
        <f t="shared" si="40"/>
        <v>6.4547184898262139E-2</v>
      </c>
      <c r="BK27">
        <f t="shared" si="41"/>
        <v>2.8914110991184405E-2</v>
      </c>
      <c r="BL27">
        <f t="shared" si="42"/>
        <v>3.5633073907077734E-2</v>
      </c>
      <c r="BM27">
        <f t="shared" si="43"/>
        <v>0.16244042383008547</v>
      </c>
      <c r="BN27">
        <f t="shared" si="76"/>
        <v>0.58447933309661326</v>
      </c>
      <c r="BO27">
        <f t="shared" si="77"/>
        <v>0.37801632137707142</v>
      </c>
      <c r="BP27">
        <f t="shared" si="78"/>
        <v>8.5338093884449613</v>
      </c>
      <c r="BQ27">
        <f t="shared" si="47"/>
        <v>12.187900814957043</v>
      </c>
      <c r="BR27">
        <f t="shared" si="48"/>
        <v>0.81286107677604713</v>
      </c>
      <c r="BS27">
        <f t="shared" si="49"/>
        <v>0.18713892322395287</v>
      </c>
      <c r="BT27">
        <f t="shared" si="50"/>
        <v>4.8691111787194874E-2</v>
      </c>
      <c r="BU27">
        <f t="shared" si="51"/>
        <v>4.8691111787194874E-2</v>
      </c>
      <c r="BV27">
        <f t="shared" si="52"/>
        <v>0.23137744865585813</v>
      </c>
      <c r="BW27">
        <f t="shared" si="53"/>
        <v>0.89272231207241493</v>
      </c>
      <c r="BX27">
        <f t="shared" si="54"/>
        <v>1.1259073145861351</v>
      </c>
      <c r="BY27">
        <f t="shared" si="55"/>
        <v>2.0207456568735442</v>
      </c>
      <c r="BZ27">
        <f t="shared" si="56"/>
        <v>3.1466529714596794</v>
      </c>
      <c r="CA27">
        <f t="shared" si="57"/>
        <v>2.3729597799443893</v>
      </c>
      <c r="CB27">
        <f t="shared" si="58"/>
        <v>0.49902618832022805</v>
      </c>
      <c r="CC27" s="6">
        <f t="shared" si="59"/>
        <v>1.6093130918042391</v>
      </c>
      <c r="CE27">
        <v>45</v>
      </c>
      <c r="CF27">
        <f t="shared" si="60"/>
        <v>48</v>
      </c>
      <c r="CG27" s="20">
        <f t="shared" si="61"/>
        <v>50000</v>
      </c>
      <c r="CH27" s="20">
        <f t="shared" si="62"/>
        <v>16776.710276520353</v>
      </c>
      <c r="CI27" s="20">
        <f t="shared" si="63"/>
        <v>805282.09327297693</v>
      </c>
      <c r="CJ27" s="20">
        <f t="shared" si="64"/>
        <v>205035.62366450496</v>
      </c>
      <c r="CK27" s="20">
        <f t="shared" si="65"/>
        <v>208111.15801947252</v>
      </c>
      <c r="CL27" s="20">
        <f t="shared" si="66"/>
        <v>-3075.5343549675599</v>
      </c>
      <c r="CM27" s="20">
        <f t="shared" si="67"/>
        <v>-147625.64903844288</v>
      </c>
      <c r="CN27" s="20">
        <f t="shared" si="68"/>
        <v>5834623012.1289511</v>
      </c>
      <c r="CO27">
        <f t="shared" si="69"/>
        <v>76384.704045567603</v>
      </c>
      <c r="CP27" s="20">
        <f t="shared" si="70"/>
        <v>280061904582.18964</v>
      </c>
      <c r="CQ27">
        <f t="shared" si="71"/>
        <v>529208.75331214012</v>
      </c>
    </row>
    <row r="28" spans="1:95" x14ac:dyDescent="0.25">
      <c r="D28">
        <v>46</v>
      </c>
      <c r="E28" s="6">
        <f t="shared" si="6"/>
        <v>2.320424532616383E-3</v>
      </c>
      <c r="F28" s="6">
        <f t="shared" si="7"/>
        <v>1.9839654068656287E-3</v>
      </c>
      <c r="G28" s="5">
        <f t="shared" si="8"/>
        <v>2.4034815149056588E-3</v>
      </c>
      <c r="I28">
        <v>44</v>
      </c>
      <c r="J28" s="9">
        <f t="shared" si="73"/>
        <v>97893.72715181153</v>
      </c>
      <c r="K28" s="9">
        <f t="shared" si="74"/>
        <v>97730.001400039531</v>
      </c>
      <c r="L28" s="9">
        <f t="shared" si="72"/>
        <v>97532.30048828361</v>
      </c>
      <c r="M28">
        <v>46</v>
      </c>
      <c r="O28">
        <v>46</v>
      </c>
      <c r="P28">
        <f t="shared" si="0"/>
        <v>0.21009751123134016</v>
      </c>
      <c r="Q28">
        <f t="shared" si="1"/>
        <v>6.6421762648993951E-2</v>
      </c>
      <c r="R28">
        <f t="shared" si="2"/>
        <v>0.2097585823508839</v>
      </c>
      <c r="S28" s="3">
        <f t="shared" si="3"/>
        <v>6.6042119447489361E-2</v>
      </c>
      <c r="T28">
        <f t="shared" si="4"/>
        <v>0.21869643221768728</v>
      </c>
      <c r="U28">
        <f t="shared" si="5"/>
        <v>7.0968269876411277E-2</v>
      </c>
      <c r="W28">
        <v>46</v>
      </c>
      <c r="X28" s="4">
        <f t="shared" si="75"/>
        <v>16.59506977063144</v>
      </c>
      <c r="Y28" s="4">
        <f t="shared" si="10"/>
        <v>16.407374923428566</v>
      </c>
      <c r="Z28" s="4">
        <f t="shared" si="11"/>
        <v>0.77303856553513162</v>
      </c>
      <c r="AA28" s="5">
        <f t="shared" si="12"/>
        <v>0.60569594378601832</v>
      </c>
      <c r="AB28" s="4">
        <f t="shared" si="13"/>
        <v>0.59264735941828361</v>
      </c>
      <c r="AC28">
        <f t="shared" si="14"/>
        <v>0.36383406862281831</v>
      </c>
      <c r="AD28">
        <f t="shared" si="15"/>
        <v>0.33280608432006298</v>
      </c>
      <c r="AE28">
        <f t="shared" si="16"/>
        <v>0.12543111301637677</v>
      </c>
      <c r="AG28">
        <v>46</v>
      </c>
      <c r="AH28">
        <f t="shared" si="17"/>
        <v>19</v>
      </c>
      <c r="AI28" s="6">
        <f t="shared" si="18"/>
        <v>0.3540480545480934</v>
      </c>
      <c r="AJ28" s="6">
        <f t="shared" si="19"/>
        <v>0.15064700383152882</v>
      </c>
      <c r="AK28" s="6">
        <f t="shared" si="20"/>
        <v>0.15406891951032939</v>
      </c>
      <c r="AL28" s="6">
        <f t="shared" si="21"/>
        <v>0.15406891951032939</v>
      </c>
      <c r="AM28" s="6">
        <f t="shared" si="22"/>
        <v>5.9111578519355085E-2</v>
      </c>
      <c r="AN28" s="6">
        <f t="shared" si="23"/>
        <v>6.0454285856304441E-2</v>
      </c>
      <c r="AO28" s="6">
        <f t="shared" si="24"/>
        <v>6.0454285856304441E-2</v>
      </c>
      <c r="AP28" s="6">
        <f t="shared" si="25"/>
        <v>0.41315963306744852</v>
      </c>
      <c r="AQ28" s="6">
        <f t="shared" si="26"/>
        <v>0.41450234040439782</v>
      </c>
      <c r="AR28" s="6">
        <f t="shared" si="27"/>
        <v>0.41450234040439782</v>
      </c>
      <c r="AS28" s="4">
        <f t="shared" si="28"/>
        <v>12.024733839607672</v>
      </c>
      <c r="AT28">
        <f t="shared" si="29"/>
        <v>10</v>
      </c>
      <c r="AU28">
        <f t="shared" si="30"/>
        <v>0.17667925114332719</v>
      </c>
      <c r="AV28">
        <f t="shared" si="31"/>
        <v>0.58447933309661326</v>
      </c>
      <c r="AW28">
        <f t="shared" si="32"/>
        <v>8.5338093884449613</v>
      </c>
      <c r="AX28" s="6">
        <f t="shared" si="33"/>
        <v>4.3151025725606624</v>
      </c>
      <c r="AZ28">
        <v>46</v>
      </c>
      <c r="BA28">
        <f t="shared" si="34"/>
        <v>48</v>
      </c>
      <c r="BB28" s="8">
        <v>50000</v>
      </c>
      <c r="BC28" s="20">
        <f t="shared" si="35"/>
        <v>17942.61157925742</v>
      </c>
      <c r="BD28" s="20">
        <f t="shared" si="36"/>
        <v>861245.35580435616</v>
      </c>
      <c r="BF28">
        <v>46</v>
      </c>
      <c r="BG28">
        <f t="shared" si="37"/>
        <v>19</v>
      </c>
      <c r="BH28">
        <f t="shared" si="38"/>
        <v>10</v>
      </c>
      <c r="BI28">
        <f t="shared" si="39"/>
        <v>0.14010883760036397</v>
      </c>
      <c r="BJ28">
        <f t="shared" si="40"/>
        <v>6.909006816476293E-2</v>
      </c>
      <c r="BK28">
        <f t="shared" si="41"/>
        <v>3.1947063665335104E-2</v>
      </c>
      <c r="BL28">
        <f t="shared" si="42"/>
        <v>3.7143004499427826E-2</v>
      </c>
      <c r="BM28">
        <f t="shared" si="43"/>
        <v>0.17725184209979178</v>
      </c>
      <c r="BN28">
        <f t="shared" si="76"/>
        <v>0.58447933309661326</v>
      </c>
      <c r="BO28">
        <f t="shared" si="77"/>
        <v>0.37801632137707142</v>
      </c>
      <c r="BP28">
        <f t="shared" si="78"/>
        <v>8.5338093884449613</v>
      </c>
      <c r="BQ28">
        <f t="shared" si="47"/>
        <v>12.187900814957041</v>
      </c>
      <c r="BR28">
        <f t="shared" si="48"/>
        <v>0.81286107677604713</v>
      </c>
      <c r="BS28">
        <f t="shared" si="49"/>
        <v>0.18713892322395287</v>
      </c>
      <c r="BT28">
        <f t="shared" si="50"/>
        <v>4.8691111787194874E-2</v>
      </c>
      <c r="BU28">
        <f t="shared" si="51"/>
        <v>4.8691111787194874E-2</v>
      </c>
      <c r="BV28">
        <f t="shared" si="52"/>
        <v>0.24294632108865097</v>
      </c>
      <c r="BW28">
        <f t="shared" si="53"/>
        <v>0.89466180061266953</v>
      </c>
      <c r="BX28">
        <f t="shared" si="54"/>
        <v>1.244009634995052</v>
      </c>
      <c r="BY28">
        <f t="shared" si="55"/>
        <v>2.1923467401346617</v>
      </c>
      <c r="BZ28">
        <f t="shared" si="56"/>
        <v>3.4363563751297139</v>
      </c>
      <c r="CA28">
        <f t="shared" si="57"/>
        <v>2.2944136961878816</v>
      </c>
      <c r="CB28">
        <f t="shared" si="58"/>
        <v>0.49902618832022805</v>
      </c>
      <c r="CC28" s="6">
        <f t="shared" si="59"/>
        <v>1.663291234614455</v>
      </c>
      <c r="CE28">
        <v>46</v>
      </c>
      <c r="CF28">
        <f t="shared" si="60"/>
        <v>48</v>
      </c>
      <c r="CG28" s="20">
        <f t="shared" si="61"/>
        <v>50000</v>
      </c>
      <c r="CH28" s="20">
        <f t="shared" si="62"/>
        <v>18211.750752946278</v>
      </c>
      <c r="CI28" s="20">
        <f t="shared" si="63"/>
        <v>874164.03614142141</v>
      </c>
      <c r="CJ28" s="20">
        <f t="shared" si="64"/>
        <v>215755.12862803313</v>
      </c>
      <c r="CK28" s="20">
        <f t="shared" si="65"/>
        <v>218991.45555745362</v>
      </c>
      <c r="CL28" s="20">
        <f t="shared" si="66"/>
        <v>-3236.3269294204947</v>
      </c>
      <c r="CM28" s="20">
        <f t="shared" si="67"/>
        <v>-155343.69261218375</v>
      </c>
      <c r="CN28" s="20">
        <f t="shared" si="68"/>
        <v>6322729691.5481911</v>
      </c>
      <c r="CO28">
        <f t="shared" si="69"/>
        <v>79515.594014936403</v>
      </c>
      <c r="CP28" s="20">
        <f t="shared" si="70"/>
        <v>303491025194.31317</v>
      </c>
      <c r="CQ28">
        <f t="shared" si="71"/>
        <v>550900.19531155843</v>
      </c>
    </row>
    <row r="29" spans="1:95" x14ac:dyDescent="0.25">
      <c r="D29">
        <v>47</v>
      </c>
      <c r="E29" s="6">
        <f t="shared" si="6"/>
        <v>2.530226545518377E-3</v>
      </c>
      <c r="F29" s="6">
        <f t="shared" si="7"/>
        <v>2.1633935453473363E-3</v>
      </c>
      <c r="G29" s="5">
        <f t="shared" si="8"/>
        <v>2.6226860106945971E-3</v>
      </c>
      <c r="I29">
        <v>45</v>
      </c>
      <c r="J29" s="9">
        <f t="shared" si="73"/>
        <v>97698.828244734905</v>
      </c>
      <c r="K29" s="9">
        <f t="shared" si="74"/>
        <v>97520.936174448434</v>
      </c>
      <c r="L29" s="9">
        <f t="shared" si="72"/>
        <v>97305.98414550809</v>
      </c>
      <c r="M29">
        <v>47</v>
      </c>
      <c r="O29">
        <v>47</v>
      </c>
      <c r="P29">
        <f t="shared" si="0"/>
        <v>0.21878964712496202</v>
      </c>
      <c r="Q29">
        <f t="shared" si="1"/>
        <v>7.1074491782274291E-2</v>
      </c>
      <c r="R29">
        <f t="shared" si="2"/>
        <v>0.21842438036308481</v>
      </c>
      <c r="S29" s="3">
        <f t="shared" si="3"/>
        <v>7.0662773421527533E-2</v>
      </c>
      <c r="T29">
        <f t="shared" si="4"/>
        <v>0.22767475593331638</v>
      </c>
      <c r="U29">
        <f t="shared" si="5"/>
        <v>7.5906529848610974E-2</v>
      </c>
      <c r="W29">
        <v>47</v>
      </c>
      <c r="X29" s="4">
        <f t="shared" si="75"/>
        <v>16.413088012375223</v>
      </c>
      <c r="Y29" s="4">
        <f t="shared" si="10"/>
        <v>16.218830125400359</v>
      </c>
      <c r="Z29" s="4">
        <f t="shared" si="11"/>
        <v>0.7720791412739858</v>
      </c>
      <c r="AA29" s="5">
        <f t="shared" si="12"/>
        <v>0.60494420977266594</v>
      </c>
      <c r="AB29" s="4">
        <f t="shared" si="13"/>
        <v>0.59068909591235641</v>
      </c>
      <c r="AC29">
        <f t="shared" si="14"/>
        <v>0.36263186470260433</v>
      </c>
      <c r="AD29">
        <f t="shared" si="15"/>
        <v>0.32883511793085801</v>
      </c>
      <c r="AE29">
        <f t="shared" si="16"/>
        <v>0.12393449754744328</v>
      </c>
      <c r="AG29">
        <v>47</v>
      </c>
      <c r="AH29">
        <f t="shared" si="17"/>
        <v>18</v>
      </c>
      <c r="AI29" s="6">
        <f t="shared" si="18"/>
        <v>0.37263076899773989</v>
      </c>
      <c r="AJ29" s="6">
        <f t="shared" si="19"/>
        <v>0.15855392555849407</v>
      </c>
      <c r="AK29" s="6">
        <f t="shared" si="20"/>
        <v>0.16215544533654913</v>
      </c>
      <c r="AL29" s="6">
        <f t="shared" si="21"/>
        <v>0.16215544533654913</v>
      </c>
      <c r="AM29" s="6">
        <f t="shared" si="22"/>
        <v>5.9870454804590745E-2</v>
      </c>
      <c r="AN29" s="6">
        <f t="shared" si="23"/>
        <v>6.1230399860131721E-2</v>
      </c>
      <c r="AO29" s="6">
        <f t="shared" si="24"/>
        <v>6.1230399860131721E-2</v>
      </c>
      <c r="AP29" s="6">
        <f t="shared" si="25"/>
        <v>0.43250122380233064</v>
      </c>
      <c r="AQ29" s="6">
        <f t="shared" si="26"/>
        <v>0.43386116885787163</v>
      </c>
      <c r="AR29" s="6">
        <f t="shared" si="27"/>
        <v>0.43386116885787163</v>
      </c>
      <c r="AS29" s="4">
        <f t="shared" si="28"/>
        <v>11.627149398774161</v>
      </c>
      <c r="AT29">
        <f t="shared" si="29"/>
        <v>10</v>
      </c>
      <c r="AU29">
        <f t="shared" si="30"/>
        <v>0.1859525123037776</v>
      </c>
      <c r="AV29">
        <f t="shared" si="31"/>
        <v>0.58447933309661326</v>
      </c>
      <c r="AW29">
        <f t="shared" si="32"/>
        <v>8.5338093884449613</v>
      </c>
      <c r="AX29" s="6">
        <f t="shared" si="33"/>
        <v>4.541586853145624</v>
      </c>
      <c r="AZ29">
        <v>47</v>
      </c>
      <c r="BA29">
        <f t="shared" si="34"/>
        <v>48</v>
      </c>
      <c r="BB29" s="8">
        <v>50000</v>
      </c>
      <c r="BC29" s="20">
        <f t="shared" si="35"/>
        <v>19530.095887580315</v>
      </c>
      <c r="BD29" s="20">
        <f t="shared" si="36"/>
        <v>937444.60260385508</v>
      </c>
      <c r="BF29">
        <v>47</v>
      </c>
      <c r="BG29">
        <f t="shared" si="37"/>
        <v>18</v>
      </c>
      <c r="BH29">
        <f t="shared" si="38"/>
        <v>10</v>
      </c>
      <c r="BI29">
        <f t="shared" si="39"/>
        <v>0.15483578115771471</v>
      </c>
      <c r="BJ29">
        <f t="shared" si="40"/>
        <v>7.3923972659392462E-2</v>
      </c>
      <c r="BK29">
        <f t="shared" si="41"/>
        <v>3.5305043158138052E-2</v>
      </c>
      <c r="BL29">
        <f t="shared" si="42"/>
        <v>3.8618929501254409E-2</v>
      </c>
      <c r="BM29">
        <f t="shared" si="43"/>
        <v>0.19345471065896913</v>
      </c>
      <c r="BN29">
        <f t="shared" si="76"/>
        <v>0.58447933309661326</v>
      </c>
      <c r="BO29">
        <f t="shared" si="77"/>
        <v>0.37801632137707142</v>
      </c>
      <c r="BP29">
        <f t="shared" si="78"/>
        <v>8.5338093884449613</v>
      </c>
      <c r="BQ29">
        <f t="shared" si="47"/>
        <v>12.187900814957043</v>
      </c>
      <c r="BR29">
        <f t="shared" si="48"/>
        <v>0.81286107677604713</v>
      </c>
      <c r="BS29">
        <f t="shared" si="49"/>
        <v>0.18713892322395287</v>
      </c>
      <c r="BT29">
        <f t="shared" si="50"/>
        <v>4.8691111787194874E-2</v>
      </c>
      <c r="BU29">
        <f t="shared" si="51"/>
        <v>4.8691111787194874E-2</v>
      </c>
      <c r="BV29">
        <f t="shared" si="52"/>
        <v>0.25509363714308358</v>
      </c>
      <c r="BW29">
        <f t="shared" si="53"/>
        <v>0.89678037573506042</v>
      </c>
      <c r="BX29">
        <f t="shared" si="54"/>
        <v>1.3747684079114946</v>
      </c>
      <c r="BY29">
        <f t="shared" si="55"/>
        <v>2.3740585521752955</v>
      </c>
      <c r="BZ29">
        <f t="shared" si="56"/>
        <v>3.7488269600867898</v>
      </c>
      <c r="CA29">
        <f t="shared" si="57"/>
        <v>2.2014270178494448</v>
      </c>
      <c r="CB29">
        <f t="shared" si="58"/>
        <v>0.49902618832022805</v>
      </c>
      <c r="CC29" s="6">
        <f t="shared" si="59"/>
        <v>1.7106825899298386</v>
      </c>
      <c r="CE29">
        <v>47</v>
      </c>
      <c r="CF29">
        <f t="shared" si="60"/>
        <v>48</v>
      </c>
      <c r="CG29" s="20">
        <f t="shared" si="61"/>
        <v>50000</v>
      </c>
      <c r="CH29" s="20">
        <f t="shared" si="62"/>
        <v>19823.047325894018</v>
      </c>
      <c r="CI29" s="20">
        <f t="shared" si="63"/>
        <v>951506.27164291288</v>
      </c>
      <c r="CJ29" s="20">
        <f t="shared" si="64"/>
        <v>227079.3426572812</v>
      </c>
      <c r="CK29" s="20">
        <f t="shared" si="65"/>
        <v>230485.53279714039</v>
      </c>
      <c r="CL29" s="20">
        <f t="shared" si="66"/>
        <v>-3406.1901398591872</v>
      </c>
      <c r="CM29" s="20">
        <f t="shared" si="67"/>
        <v>-163497.12671324098</v>
      </c>
      <c r="CN29" s="20">
        <f t="shared" si="68"/>
        <v>6846031009.1048927</v>
      </c>
      <c r="CO29">
        <f t="shared" si="69"/>
        <v>82740.74576111151</v>
      </c>
      <c r="CP29" s="20">
        <f t="shared" si="70"/>
        <v>328609488437.03485</v>
      </c>
      <c r="CQ29">
        <f t="shared" si="71"/>
        <v>573244.70205753739</v>
      </c>
    </row>
    <row r="30" spans="1:95" x14ac:dyDescent="0.25">
      <c r="D30">
        <v>48</v>
      </c>
      <c r="E30" s="6">
        <f t="shared" si="6"/>
        <v>2.7609578023225501E-3</v>
      </c>
      <c r="F30" s="6">
        <f t="shared" si="7"/>
        <v>2.3607272393832979E-3</v>
      </c>
      <c r="G30" s="5">
        <f t="shared" si="8"/>
        <v>2.8637553243033853E-3</v>
      </c>
      <c r="I30">
        <v>46</v>
      </c>
      <c r="J30" s="9">
        <f t="shared" si="73"/>
        <v>97487.032281559557</v>
      </c>
      <c r="K30" s="9">
        <f t="shared" si="74"/>
        <v>97293.621381894947</v>
      </c>
      <c r="L30" s="9">
        <f t="shared" si="72"/>
        <v>97059.777961385334</v>
      </c>
      <c r="M30">
        <v>48</v>
      </c>
      <c r="O30">
        <v>48</v>
      </c>
      <c r="P30">
        <f t="shared" si="0"/>
        <v>0.22777522585857055</v>
      </c>
      <c r="Q30">
        <f t="shared" si="1"/>
        <v>7.6021752901667669E-2</v>
      </c>
      <c r="R30">
        <f t="shared" si="2"/>
        <v>0.22738151312884303</v>
      </c>
      <c r="S30" s="3">
        <f t="shared" si="3"/>
        <v>7.5575108063745067E-2</v>
      </c>
      <c r="T30">
        <f t="shared" si="4"/>
        <v>0.23694923405709151</v>
      </c>
      <c r="U30">
        <f t="shared" si="5"/>
        <v>8.1152408101241788E-2</v>
      </c>
      <c r="W30">
        <v>48</v>
      </c>
      <c r="X30" s="4">
        <f t="shared" si="75"/>
        <v>16.224988224294297</v>
      </c>
      <c r="Y30" s="4">
        <f t="shared" si="10"/>
        <v>16.024066084801078</v>
      </c>
      <c r="Z30" s="4">
        <f t="shared" si="11"/>
        <v>0.77102514984492798</v>
      </c>
      <c r="AA30" s="5">
        <f t="shared" si="12"/>
        <v>0.6041183799087656</v>
      </c>
      <c r="AB30" s="4">
        <f t="shared" si="13"/>
        <v>0.58854247879836741</v>
      </c>
      <c r="AC30">
        <f t="shared" si="14"/>
        <v>0.36131402800604906</v>
      </c>
      <c r="AD30">
        <f t="shared" si="15"/>
        <v>0.32452175774834058</v>
      </c>
      <c r="AE30">
        <f t="shared" si="16"/>
        <v>0.12230883745880927</v>
      </c>
      <c r="AG30">
        <v>48</v>
      </c>
      <c r="AH30">
        <f t="shared" si="17"/>
        <v>17</v>
      </c>
      <c r="AI30" s="6">
        <f t="shared" si="18"/>
        <v>0.39227296567731501</v>
      </c>
      <c r="AJ30" s="6">
        <f t="shared" si="19"/>
        <v>0.16691165564749147</v>
      </c>
      <c r="AK30" s="6">
        <f t="shared" si="20"/>
        <v>0.17070301954393807</v>
      </c>
      <c r="AL30" s="6">
        <f t="shared" si="21"/>
        <v>0.17070301954393807</v>
      </c>
      <c r="AM30" s="6">
        <f t="shared" si="22"/>
        <v>6.0469857481351558E-2</v>
      </c>
      <c r="AN30" s="6">
        <f t="shared" si="23"/>
        <v>6.1843417845297975E-2</v>
      </c>
      <c r="AO30" s="6">
        <f t="shared" si="24"/>
        <v>6.1843417845297975E-2</v>
      </c>
      <c r="AP30" s="6">
        <f t="shared" si="25"/>
        <v>0.45274282315866654</v>
      </c>
      <c r="AQ30" s="6">
        <f t="shared" si="26"/>
        <v>0.45411638352261297</v>
      </c>
      <c r="AR30" s="6">
        <f t="shared" si="27"/>
        <v>0.45411638352261297</v>
      </c>
      <c r="AS30" s="4">
        <f t="shared" si="28"/>
        <v>11.211155310299308</v>
      </c>
      <c r="AT30">
        <f t="shared" si="29"/>
        <v>10</v>
      </c>
      <c r="AU30">
        <f t="shared" si="30"/>
        <v>0.19575448284302216</v>
      </c>
      <c r="AV30">
        <f t="shared" si="31"/>
        <v>0.58447933309661326</v>
      </c>
      <c r="AW30">
        <f t="shared" si="32"/>
        <v>8.5338093884449613</v>
      </c>
      <c r="AX30" s="6">
        <f t="shared" si="33"/>
        <v>4.7809839980641637</v>
      </c>
      <c r="AZ30">
        <v>48</v>
      </c>
      <c r="BA30">
        <f t="shared" si="34"/>
        <v>48</v>
      </c>
      <c r="BB30" s="8">
        <v>50000</v>
      </c>
      <c r="BC30" s="20">
        <f t="shared" si="35"/>
        <v>21322.441201363235</v>
      </c>
      <c r="BD30" s="20">
        <f t="shared" si="36"/>
        <v>1023477.1776654352</v>
      </c>
      <c r="BF30">
        <v>48</v>
      </c>
      <c r="BG30">
        <f t="shared" si="37"/>
        <v>17</v>
      </c>
      <c r="BH30">
        <f t="shared" si="38"/>
        <v>10</v>
      </c>
      <c r="BI30">
        <f t="shared" si="39"/>
        <v>0.17114739556430003</v>
      </c>
      <c r="BJ30">
        <f t="shared" si="40"/>
        <v>7.9063019348358757E-2</v>
      </c>
      <c r="BK30">
        <f t="shared" si="41"/>
        <v>3.902435303791843E-2</v>
      </c>
      <c r="BL30">
        <f t="shared" si="42"/>
        <v>4.0038666310440327E-2</v>
      </c>
      <c r="BM30">
        <f t="shared" si="43"/>
        <v>0.21118606187474037</v>
      </c>
      <c r="BN30">
        <f t="shared" si="76"/>
        <v>0.58447933309661326</v>
      </c>
      <c r="BO30">
        <f t="shared" si="77"/>
        <v>0.37801632137707142</v>
      </c>
      <c r="BP30">
        <f t="shared" si="78"/>
        <v>8.5338093884449613</v>
      </c>
      <c r="BQ30">
        <f t="shared" si="47"/>
        <v>12.187900814957043</v>
      </c>
      <c r="BR30">
        <f t="shared" si="48"/>
        <v>0.81286107677604713</v>
      </c>
      <c r="BS30">
        <f t="shared" si="49"/>
        <v>0.18713892322395287</v>
      </c>
      <c r="BT30">
        <f t="shared" si="50"/>
        <v>4.8691111787194874E-2</v>
      </c>
      <c r="BU30">
        <f t="shared" si="51"/>
        <v>4.8691111787194874E-2</v>
      </c>
      <c r="BV30">
        <f t="shared" si="52"/>
        <v>0.2678483190002377</v>
      </c>
      <c r="BW30">
        <f t="shared" si="53"/>
        <v>0.89909682291054194</v>
      </c>
      <c r="BX30">
        <f t="shared" si="54"/>
        <v>1.5195972840313223</v>
      </c>
      <c r="BY30">
        <f t="shared" si="55"/>
        <v>2.5652692665510761</v>
      </c>
      <c r="BZ30">
        <f t="shared" si="56"/>
        <v>4.0848665505823982</v>
      </c>
      <c r="CA30">
        <f t="shared" si="57"/>
        <v>2.0939434232373002</v>
      </c>
      <c r="CB30">
        <f t="shared" si="58"/>
        <v>0.49902618832022805</v>
      </c>
      <c r="CC30" s="6">
        <f t="shared" si="59"/>
        <v>1.7497173072741248</v>
      </c>
      <c r="CE30">
        <v>48</v>
      </c>
      <c r="CF30">
        <f t="shared" si="60"/>
        <v>48</v>
      </c>
      <c r="CG30" s="20">
        <f t="shared" si="61"/>
        <v>50000</v>
      </c>
      <c r="CH30" s="20">
        <f t="shared" si="62"/>
        <v>21642.277819383682</v>
      </c>
      <c r="CI30" s="20">
        <f t="shared" si="63"/>
        <v>1038829.3353304167</v>
      </c>
      <c r="CJ30" s="20">
        <f t="shared" si="64"/>
        <v>239049.19990320818</v>
      </c>
      <c r="CK30" s="20">
        <f t="shared" si="65"/>
        <v>242634.93790175629</v>
      </c>
      <c r="CL30" s="20">
        <f t="shared" si="66"/>
        <v>-3585.7379985481093</v>
      </c>
      <c r="CM30" s="20">
        <f t="shared" si="67"/>
        <v>-172115.42393030925</v>
      </c>
      <c r="CN30" s="20">
        <f t="shared" si="68"/>
        <v>7406157937.836153</v>
      </c>
      <c r="CO30">
        <f t="shared" si="69"/>
        <v>86059.037514000549</v>
      </c>
      <c r="CP30" s="20">
        <f t="shared" si="70"/>
        <v>355495581016.13538</v>
      </c>
      <c r="CQ30">
        <f t="shared" si="71"/>
        <v>596234.50169889978</v>
      </c>
    </row>
    <row r="31" spans="1:95" x14ac:dyDescent="0.25">
      <c r="D31">
        <v>49</v>
      </c>
      <c r="E31" s="6">
        <f t="shared" si="6"/>
        <v>3.0147005406730987E-3</v>
      </c>
      <c r="F31" s="6">
        <f t="shared" si="7"/>
        <v>2.5777492292295978E-3</v>
      </c>
      <c r="G31" s="5">
        <f t="shared" si="8"/>
        <v>3.1288642711639891E-3</v>
      </c>
      <c r="I31">
        <v>47</v>
      </c>
      <c r="J31" s="9">
        <f t="shared" si="73"/>
        <v>97256.726615940861</v>
      </c>
      <c r="K31" s="9">
        <f t="shared" si="74"/>
        <v>97046.322041338324</v>
      </c>
      <c r="L31" s="9">
        <f t="shared" si="72"/>
        <v>96791.800010131148</v>
      </c>
      <c r="M31">
        <v>49</v>
      </c>
      <c r="O31">
        <v>49</v>
      </c>
      <c r="P31">
        <f t="shared" si="0"/>
        <v>0.23705753520058795</v>
      </c>
      <c r="Q31">
        <f t="shared" si="1"/>
        <v>8.1277428321643405E-2</v>
      </c>
      <c r="R31">
        <f t="shared" si="2"/>
        <v>0.23663312821316326</v>
      </c>
      <c r="S31" s="3">
        <f t="shared" si="3"/>
        <v>8.0792778839410467E-2</v>
      </c>
      <c r="T31">
        <f t="shared" si="4"/>
        <v>0.24652250860112615</v>
      </c>
      <c r="U31">
        <f t="shared" si="5"/>
        <v>8.6719831419821786E-2</v>
      </c>
      <c r="W31">
        <v>49</v>
      </c>
      <c r="X31" s="4">
        <f t="shared" si="75"/>
        <v>16.030704307523571</v>
      </c>
      <c r="Y31" s="4">
        <f t="shared" si="10"/>
        <v>15.823027319376353</v>
      </c>
      <c r="Z31" s="4">
        <f t="shared" si="11"/>
        <v>0.76986742105689221</v>
      </c>
      <c r="AA31" s="5">
        <f t="shared" si="12"/>
        <v>0.60321126910966572</v>
      </c>
      <c r="AB31" s="4">
        <f t="shared" si="13"/>
        <v>0.58619020903444963</v>
      </c>
      <c r="AC31">
        <f t="shared" si="14"/>
        <v>0.35986993842207676</v>
      </c>
      <c r="AD31">
        <f t="shared" si="15"/>
        <v>0.31984238133278098</v>
      </c>
      <c r="AE31">
        <f t="shared" si="16"/>
        <v>0.12054522970138092</v>
      </c>
      <c r="AG31">
        <v>49</v>
      </c>
      <c r="AH31">
        <f t="shared" si="17"/>
        <v>16</v>
      </c>
      <c r="AI31" s="6">
        <f t="shared" si="18"/>
        <v>0.41304800334013092</v>
      </c>
      <c r="AJ31" s="6">
        <f t="shared" si="19"/>
        <v>0.17575140815618731</v>
      </c>
      <c r="AK31" s="6">
        <f t="shared" si="20"/>
        <v>0.17974356521105644</v>
      </c>
      <c r="AL31" s="6">
        <f t="shared" si="21"/>
        <v>0.17974356521105644</v>
      </c>
      <c r="AM31" s="6">
        <f t="shared" si="22"/>
        <v>6.0881720056975952E-2</v>
      </c>
      <c r="AN31" s="6">
        <f t="shared" si="23"/>
        <v>6.2264635794538808E-2</v>
      </c>
      <c r="AO31" s="6">
        <f t="shared" si="24"/>
        <v>6.2264635794538808E-2</v>
      </c>
      <c r="AP31" s="6">
        <f t="shared" si="25"/>
        <v>0.47392972339710687</v>
      </c>
      <c r="AQ31" s="6">
        <f t="shared" si="26"/>
        <v>0.4753126391346697</v>
      </c>
      <c r="AR31" s="6">
        <f t="shared" si="27"/>
        <v>0.4753126391346697</v>
      </c>
      <c r="AS31" s="4">
        <f t="shared" si="28"/>
        <v>10.775834471771422</v>
      </c>
      <c r="AT31">
        <f t="shared" si="29"/>
        <v>10</v>
      </c>
      <c r="AU31">
        <f t="shared" si="30"/>
        <v>0.2061217707001064</v>
      </c>
      <c r="AV31">
        <f t="shared" si="31"/>
        <v>0.58447933309661326</v>
      </c>
      <c r="AW31">
        <f t="shared" si="32"/>
        <v>8.5338093884449613</v>
      </c>
      <c r="AX31" s="6">
        <f t="shared" si="33"/>
        <v>5.0341880965255612</v>
      </c>
      <c r="AZ31">
        <v>49</v>
      </c>
      <c r="BA31">
        <f t="shared" si="34"/>
        <v>48</v>
      </c>
      <c r="BB31" s="8">
        <v>50000</v>
      </c>
      <c r="BC31" s="20">
        <f t="shared" si="35"/>
        <v>23358.692589948441</v>
      </c>
      <c r="BD31" s="20">
        <f t="shared" si="36"/>
        <v>1121217.2443175251</v>
      </c>
      <c r="BF31">
        <v>49</v>
      </c>
      <c r="BG31">
        <f t="shared" si="37"/>
        <v>16</v>
      </c>
      <c r="BH31">
        <f t="shared" si="38"/>
        <v>10</v>
      </c>
      <c r="BI31">
        <f t="shared" si="39"/>
        <v>0.18922204946565632</v>
      </c>
      <c r="BJ31">
        <f t="shared" si="40"/>
        <v>8.4521493918343474E-2</v>
      </c>
      <c r="BK31">
        <f t="shared" si="41"/>
        <v>4.3145664218606057E-2</v>
      </c>
      <c r="BL31">
        <f t="shared" si="42"/>
        <v>4.1375829699737417E-2</v>
      </c>
      <c r="BM31">
        <f t="shared" si="43"/>
        <v>0.23059787916539373</v>
      </c>
      <c r="BN31">
        <f t="shared" si="76"/>
        <v>0.58447933309661326</v>
      </c>
      <c r="BO31">
        <f t="shared" si="77"/>
        <v>0.37801632137707142</v>
      </c>
      <c r="BP31">
        <f t="shared" si="78"/>
        <v>8.5338093884449613</v>
      </c>
      <c r="BQ31">
        <f t="shared" si="47"/>
        <v>12.187900814957043</v>
      </c>
      <c r="BR31">
        <f t="shared" si="48"/>
        <v>0.81286107677604713</v>
      </c>
      <c r="BS31">
        <f t="shared" si="49"/>
        <v>0.18713892322395287</v>
      </c>
      <c r="BT31">
        <f t="shared" si="50"/>
        <v>4.8691111787194874E-2</v>
      </c>
      <c r="BU31">
        <f t="shared" si="51"/>
        <v>4.8691111787194874E-2</v>
      </c>
      <c r="BV31">
        <f t="shared" si="52"/>
        <v>0.28124073495024959</v>
      </c>
      <c r="BW31">
        <f t="shared" si="53"/>
        <v>0.90163199027306895</v>
      </c>
      <c r="BX31">
        <f t="shared" si="54"/>
        <v>1.680079977254592</v>
      </c>
      <c r="BY31">
        <f t="shared" si="55"/>
        <v>2.7649255963242947</v>
      </c>
      <c r="BZ31">
        <f t="shared" si="56"/>
        <v>4.4450055735788867</v>
      </c>
      <c r="CA31">
        <f t="shared" si="57"/>
        <v>1.9722145213149851</v>
      </c>
      <c r="CB31">
        <f t="shared" si="58"/>
        <v>0.49902618832022805</v>
      </c>
      <c r="CC31" s="6">
        <f t="shared" si="59"/>
        <v>1.7784284644813155</v>
      </c>
      <c r="CE31">
        <v>49</v>
      </c>
      <c r="CF31">
        <f t="shared" si="60"/>
        <v>48</v>
      </c>
      <c r="CG31" s="20">
        <f t="shared" si="61"/>
        <v>50000</v>
      </c>
      <c r="CH31" s="20">
        <f t="shared" si="62"/>
        <v>23709.072978797667</v>
      </c>
      <c r="CI31" s="20">
        <f t="shared" si="63"/>
        <v>1138035.5029822881</v>
      </c>
      <c r="CJ31" s="20">
        <f t="shared" si="64"/>
        <v>251709.40482627807</v>
      </c>
      <c r="CK31" s="20">
        <f t="shared" si="65"/>
        <v>255485.04589867225</v>
      </c>
      <c r="CL31" s="20">
        <f t="shared" si="66"/>
        <v>-3775.6410723941808</v>
      </c>
      <c r="CM31" s="20">
        <f t="shared" si="67"/>
        <v>-181230.77147492068</v>
      </c>
      <c r="CN31" s="20">
        <f t="shared" si="68"/>
        <v>8004646414.5688114</v>
      </c>
      <c r="CO31">
        <f t="shared" si="69"/>
        <v>89468.689576682693</v>
      </c>
      <c r="CP31" s="20">
        <f t="shared" si="70"/>
        <v>384223027899.30298</v>
      </c>
      <c r="CQ31">
        <f t="shared" si="71"/>
        <v>619857.26413368993</v>
      </c>
    </row>
    <row r="32" spans="1:95" x14ac:dyDescent="0.25">
      <c r="D32">
        <v>50</v>
      </c>
      <c r="E32" s="6">
        <f t="shared" si="6"/>
        <v>3.2937429824931863E-3</v>
      </c>
      <c r="F32" s="6">
        <f t="shared" si="7"/>
        <v>2.8164188909129972E-3</v>
      </c>
      <c r="G32" s="5">
        <f t="shared" si="8"/>
        <v>3.4204027037140206E-3</v>
      </c>
      <c r="I32">
        <v>48</v>
      </c>
      <c r="J32" s="9">
        <f t="shared" si="73"/>
        <v>97006.152858003683</v>
      </c>
      <c r="K32" s="9">
        <f t="shared" si="74"/>
        <v>96777.147790564006</v>
      </c>
      <c r="L32" s="9">
        <f t="shared" si="72"/>
        <v>96500.001718307889</v>
      </c>
      <c r="M32">
        <v>50</v>
      </c>
      <c r="O32">
        <v>50</v>
      </c>
      <c r="P32">
        <f t="shared" si="0"/>
        <v>0.24663925491508798</v>
      </c>
      <c r="Q32">
        <f t="shared" si="1"/>
        <v>8.685550752944822E-2</v>
      </c>
      <c r="R32">
        <f t="shared" si="2"/>
        <v>0.24618175975727627</v>
      </c>
      <c r="S32" s="3">
        <f t="shared" si="3"/>
        <v>8.6329534629726395E-2</v>
      </c>
      <c r="T32">
        <f t="shared" si="4"/>
        <v>0.25639654893822161</v>
      </c>
      <c r="U32">
        <f t="shared" si="5"/>
        <v>9.2622757522374824E-2</v>
      </c>
      <c r="W32">
        <v>50</v>
      </c>
      <c r="X32" s="4">
        <f t="shared" si="75"/>
        <v>15.830183045097199</v>
      </c>
      <c r="Y32" s="4">
        <f t="shared" si="10"/>
        <v>15.615672472297346</v>
      </c>
      <c r="Z32" s="4">
        <f t="shared" si="11"/>
        <v>0.76859592712029146</v>
      </c>
      <c r="AA32" s="5">
        <f t="shared" si="12"/>
        <v>0.6022150203398331</v>
      </c>
      <c r="AB32" s="4">
        <f t="shared" si="13"/>
        <v>0.58361356956087318</v>
      </c>
      <c r="AC32">
        <f t="shared" si="14"/>
        <v>0.35828810529965194</v>
      </c>
      <c r="AD32">
        <f t="shared" si="15"/>
        <v>0.31477296139222088</v>
      </c>
      <c r="AE32">
        <f t="shared" si="16"/>
        <v>0.11863461864151713</v>
      </c>
      <c r="AG32">
        <v>50</v>
      </c>
      <c r="AH32">
        <f t="shared" si="17"/>
        <v>15</v>
      </c>
      <c r="AI32" s="6">
        <f t="shared" si="18"/>
        <v>0.43503620916286773</v>
      </c>
      <c r="AJ32" s="6">
        <f t="shared" si="19"/>
        <v>0.18510736219766422</v>
      </c>
      <c r="AK32" s="6">
        <f t="shared" si="20"/>
        <v>0.18931203782250419</v>
      </c>
      <c r="AL32" s="6">
        <f t="shared" si="21"/>
        <v>0.18931203782250419</v>
      </c>
      <c r="AM32" s="6">
        <f t="shared" si="22"/>
        <v>6.1074397559612054E-2</v>
      </c>
      <c r="AN32" s="6">
        <f t="shared" si="23"/>
        <v>6.2461689926981367E-2</v>
      </c>
      <c r="AO32" s="6">
        <f t="shared" si="24"/>
        <v>6.2461689926981367E-2</v>
      </c>
      <c r="AP32" s="6">
        <f t="shared" si="25"/>
        <v>0.49611060672247975</v>
      </c>
      <c r="AQ32" s="6">
        <f t="shared" si="26"/>
        <v>0.49749789908984909</v>
      </c>
      <c r="AR32" s="6">
        <f t="shared" si="27"/>
        <v>0.49749789908984909</v>
      </c>
      <c r="AS32" s="4">
        <f t="shared" si="28"/>
        <v>10.320201828751472</v>
      </c>
      <c r="AT32">
        <f t="shared" si="29"/>
        <v>10</v>
      </c>
      <c r="AU32">
        <f t="shared" si="30"/>
        <v>0.21709446123982737</v>
      </c>
      <c r="AV32">
        <f t="shared" si="31"/>
        <v>0.58447933309661326</v>
      </c>
      <c r="AW32">
        <f t="shared" si="32"/>
        <v>8.5338093884449613</v>
      </c>
      <c r="AX32" s="6">
        <f t="shared" si="33"/>
        <v>5.3021781681919382</v>
      </c>
      <c r="AZ32">
        <v>50</v>
      </c>
      <c r="BA32">
        <f t="shared" si="34"/>
        <v>48</v>
      </c>
      <c r="BB32" s="8">
        <v>50000</v>
      </c>
      <c r="BC32" s="20">
        <f t="shared" si="35"/>
        <v>25688.345325865543</v>
      </c>
      <c r="BD32" s="20">
        <f t="shared" si="36"/>
        <v>1233040.5756415459</v>
      </c>
      <c r="BF32">
        <v>50</v>
      </c>
      <c r="BG32">
        <f t="shared" si="37"/>
        <v>15</v>
      </c>
      <c r="BH32">
        <f t="shared" si="38"/>
        <v>10</v>
      </c>
      <c r="BI32">
        <f t="shared" si="39"/>
        <v>0.20925985489601898</v>
      </c>
      <c r="BJ32">
        <f t="shared" si="40"/>
        <v>9.0313779783256234E-2</v>
      </c>
      <c r="BK32">
        <f t="shared" si="41"/>
        <v>4.7714605455727067E-2</v>
      </c>
      <c r="BL32">
        <f t="shared" si="42"/>
        <v>4.2599174327529167E-2</v>
      </c>
      <c r="BM32">
        <f t="shared" si="43"/>
        <v>0.25185902922354814</v>
      </c>
      <c r="BN32">
        <f t="shared" si="76"/>
        <v>0.58447933309661326</v>
      </c>
      <c r="BO32">
        <f t="shared" si="77"/>
        <v>0.37801632137707142</v>
      </c>
      <c r="BP32">
        <f t="shared" si="78"/>
        <v>8.5338093884449613</v>
      </c>
      <c r="BQ32">
        <f t="shared" si="47"/>
        <v>12.187900814957043</v>
      </c>
      <c r="BR32">
        <f t="shared" si="48"/>
        <v>0.81286107677604713</v>
      </c>
      <c r="BS32">
        <f t="shared" si="49"/>
        <v>0.18713892322395287</v>
      </c>
      <c r="BT32">
        <f t="shared" si="50"/>
        <v>4.8691111787194874E-2</v>
      </c>
      <c r="BU32">
        <f t="shared" si="51"/>
        <v>4.8691111787194874E-2</v>
      </c>
      <c r="BV32">
        <f t="shared" si="52"/>
        <v>0.29530277169776209</v>
      </c>
      <c r="BW32">
        <f t="shared" si="53"/>
        <v>0.90440903429298369</v>
      </c>
      <c r="BX32">
        <f t="shared" si="54"/>
        <v>1.8579932584326706</v>
      </c>
      <c r="BY32">
        <f t="shared" si="55"/>
        <v>2.9713963906433625</v>
      </c>
      <c r="BZ32">
        <f t="shared" si="56"/>
        <v>4.8293896490760329</v>
      </c>
      <c r="CA32">
        <f t="shared" si="57"/>
        <v>1.8368588096261038</v>
      </c>
      <c r="CB32">
        <f t="shared" si="58"/>
        <v>0.49902618832022805</v>
      </c>
      <c r="CC32" s="6">
        <f t="shared" si="59"/>
        <v>1.7946631334376875</v>
      </c>
      <c r="CE32">
        <v>50</v>
      </c>
      <c r="CF32">
        <f t="shared" si="60"/>
        <v>48</v>
      </c>
      <c r="CG32" s="20">
        <f t="shared" si="61"/>
        <v>50000</v>
      </c>
      <c r="CH32" s="20">
        <f t="shared" si="62"/>
        <v>26073.670505753522</v>
      </c>
      <c r="CI32" s="20">
        <f t="shared" si="63"/>
        <v>1251536.1842761692</v>
      </c>
      <c r="CJ32" s="20">
        <f t="shared" si="64"/>
        <v>265108.90840959689</v>
      </c>
      <c r="CK32" s="20">
        <f t="shared" si="65"/>
        <v>269085.5420357408</v>
      </c>
      <c r="CL32" s="20">
        <f t="shared" si="66"/>
        <v>-3976.6336261439137</v>
      </c>
      <c r="CM32" s="20">
        <f t="shared" si="67"/>
        <v>-190878.41405490786</v>
      </c>
      <c r="CN32" s="20">
        <f t="shared" si="68"/>
        <v>8642891886.7633095</v>
      </c>
      <c r="CO32">
        <f t="shared" si="69"/>
        <v>92967.154881513445</v>
      </c>
      <c r="CP32" s="20">
        <f t="shared" si="70"/>
        <v>414858810564.63885</v>
      </c>
      <c r="CQ32">
        <f t="shared" si="71"/>
        <v>644095.34275962505</v>
      </c>
    </row>
    <row r="33" spans="4:95" x14ac:dyDescent="0.25">
      <c r="D33">
        <v>51</v>
      </c>
      <c r="E33" s="6">
        <f t="shared" si="6"/>
        <v>3.6005994636835181E-3</v>
      </c>
      <c r="F33" s="6">
        <f t="shared" si="7"/>
        <v>3.0788895567512853E-3</v>
      </c>
      <c r="G33" s="5">
        <f t="shared" si="8"/>
        <v>3.7409965035285486E-3</v>
      </c>
      <c r="I33">
        <v>49</v>
      </c>
      <c r="J33" s="9">
        <f t="shared" si="73"/>
        <v>96733.395418889952</v>
      </c>
      <c r="K33" s="9">
        <f t="shared" si="74"/>
        <v>96484.040983408137</v>
      </c>
      <c r="L33" s="9">
        <f t="shared" si="72"/>
        <v>96182.155514837636</v>
      </c>
      <c r="M33">
        <v>51</v>
      </c>
      <c r="O33">
        <v>51</v>
      </c>
      <c r="P33">
        <f t="shared" si="0"/>
        <v>0.25652239351183115</v>
      </c>
      <c r="Q33">
        <f t="shared" si="1"/>
        <v>9.2770014653474162E-2</v>
      </c>
      <c r="R33">
        <f t="shared" si="2"/>
        <v>0.2560292655969908</v>
      </c>
      <c r="S33" s="3">
        <f t="shared" si="3"/>
        <v>9.2199145067254712E-2</v>
      </c>
      <c r="T33">
        <f t="shared" si="4"/>
        <v>0.26657258687393137</v>
      </c>
      <c r="U33">
        <f t="shared" si="5"/>
        <v>9.8875093372303824E-2</v>
      </c>
      <c r="W33">
        <v>51</v>
      </c>
      <c r="X33" s="4">
        <f t="shared" si="75"/>
        <v>15.623385422463194</v>
      </c>
      <c r="Y33" s="4">
        <f t="shared" si="10"/>
        <v>15.401975675647442</v>
      </c>
      <c r="Z33" s="4">
        <f t="shared" si="11"/>
        <v>0.76719970911931679</v>
      </c>
      <c r="AA33" s="5">
        <f t="shared" si="12"/>
        <v>0.60112104700197522</v>
      </c>
      <c r="AB33" s="4">
        <f t="shared" si="13"/>
        <v>0.58079234551625947</v>
      </c>
      <c r="AC33">
        <f t="shared" si="14"/>
        <v>0.35655611846745566</v>
      </c>
      <c r="AD33">
        <f t="shared" si="15"/>
        <v>0.30928935335747304</v>
      </c>
      <c r="AE33">
        <f t="shared" si="16"/>
        <v>0.11656790444502277</v>
      </c>
      <c r="AG33">
        <v>51</v>
      </c>
      <c r="AH33">
        <f t="shared" si="17"/>
        <v>14</v>
      </c>
      <c r="AI33" s="6">
        <f t="shared" si="18"/>
        <v>0.45832578201339313</v>
      </c>
      <c r="AJ33" s="6">
        <f t="shared" si="19"/>
        <v>0.19501704627974742</v>
      </c>
      <c r="AK33" s="6">
        <f t="shared" si="20"/>
        <v>0.19944681833843592</v>
      </c>
      <c r="AL33" s="6">
        <f t="shared" si="21"/>
        <v>0.19944681833843592</v>
      </c>
      <c r="AM33" s="6">
        <f t="shared" si="22"/>
        <v>6.1012219317243377E-2</v>
      </c>
      <c r="AN33" s="6">
        <f t="shared" si="23"/>
        <v>6.2398099318637726E-2</v>
      </c>
      <c r="AO33" s="6">
        <f t="shared" si="24"/>
        <v>6.2398099318637726E-2</v>
      </c>
      <c r="AP33" s="6">
        <f t="shared" si="25"/>
        <v>0.51933800133063657</v>
      </c>
      <c r="AQ33" s="6">
        <f t="shared" si="26"/>
        <v>0.52072388133203085</v>
      </c>
      <c r="AR33" s="6">
        <f t="shared" si="27"/>
        <v>0.52072388133203085</v>
      </c>
      <c r="AS33" s="4">
        <f t="shared" si="28"/>
        <v>9.8431952172842454</v>
      </c>
      <c r="AT33">
        <f t="shared" si="29"/>
        <v>10</v>
      </c>
      <c r="AU33">
        <f t="shared" si="30"/>
        <v>0.22871656800703127</v>
      </c>
      <c r="AV33">
        <f t="shared" si="31"/>
        <v>0.58447933309661326</v>
      </c>
      <c r="AW33">
        <f t="shared" si="32"/>
        <v>8.5338093884449613</v>
      </c>
      <c r="AX33" s="6">
        <f t="shared" si="33"/>
        <v>5.5860291721168576</v>
      </c>
      <c r="AZ33">
        <v>51</v>
      </c>
      <c r="BA33">
        <f t="shared" si="34"/>
        <v>48</v>
      </c>
      <c r="BB33" s="8">
        <v>50000</v>
      </c>
      <c r="BC33" s="20">
        <f t="shared" si="35"/>
        <v>28375.080696906331</v>
      </c>
      <c r="BD33" s="20">
        <f t="shared" si="36"/>
        <v>1362003.8734515039</v>
      </c>
      <c r="BF33">
        <v>51</v>
      </c>
      <c r="BG33">
        <f t="shared" si="37"/>
        <v>14</v>
      </c>
      <c r="BH33">
        <f t="shared" si="38"/>
        <v>10</v>
      </c>
      <c r="BI33">
        <f t="shared" si="39"/>
        <v>0.23148566452657487</v>
      </c>
      <c r="BJ33">
        <f t="shared" si="40"/>
        <v>9.6454282066074051E-2</v>
      </c>
      <c r="BK33">
        <f t="shared" si="41"/>
        <v>5.2782446767110143E-2</v>
      </c>
      <c r="BL33">
        <f t="shared" si="42"/>
        <v>4.3671835298963908E-2</v>
      </c>
      <c r="BM33">
        <f t="shared" si="43"/>
        <v>0.27515749982553878</v>
      </c>
      <c r="BN33">
        <f t="shared" si="76"/>
        <v>0.58447933309661326</v>
      </c>
      <c r="BO33">
        <f t="shared" si="77"/>
        <v>0.37801632137707142</v>
      </c>
      <c r="BP33">
        <f t="shared" si="78"/>
        <v>8.5338093884449613</v>
      </c>
      <c r="BQ33">
        <f t="shared" si="47"/>
        <v>12.187900814957043</v>
      </c>
      <c r="BR33">
        <f t="shared" si="48"/>
        <v>0.81286107677604713</v>
      </c>
      <c r="BS33">
        <f t="shared" si="49"/>
        <v>0.18713892322395287</v>
      </c>
      <c r="BT33">
        <f t="shared" si="50"/>
        <v>4.8691111787194874E-2</v>
      </c>
      <c r="BU33">
        <f t="shared" si="51"/>
        <v>4.8691111787194874E-2</v>
      </c>
      <c r="BV33">
        <f t="shared" si="52"/>
        <v>0.31006791028265024</v>
      </c>
      <c r="BW33">
        <f t="shared" si="53"/>
        <v>0.90745369864609016</v>
      </c>
      <c r="BX33">
        <f t="shared" si="54"/>
        <v>2.0553335675774913</v>
      </c>
      <c r="BY33">
        <f t="shared" si="55"/>
        <v>3.1822990591322604</v>
      </c>
      <c r="BZ33">
        <f t="shared" si="56"/>
        <v>5.2376326267097522</v>
      </c>
      <c r="CA33">
        <f t="shared" si="57"/>
        <v>1.6889227610677497</v>
      </c>
      <c r="CB33">
        <f t="shared" si="58"/>
        <v>0.49902618832022805</v>
      </c>
      <c r="CC33" s="6">
        <f t="shared" si="59"/>
        <v>1.7961075275205971</v>
      </c>
      <c r="CE33">
        <v>51</v>
      </c>
      <c r="CF33">
        <f t="shared" si="60"/>
        <v>48</v>
      </c>
      <c r="CG33" s="20">
        <f t="shared" si="61"/>
        <v>50000</v>
      </c>
      <c r="CH33" s="20">
        <f t="shared" si="62"/>
        <v>28800.706907359923</v>
      </c>
      <c r="CI33" s="20">
        <f t="shared" si="63"/>
        <v>1382433.9315532763</v>
      </c>
      <c r="CJ33" s="20">
        <f t="shared" si="64"/>
        <v>279301.4586058429</v>
      </c>
      <c r="CK33" s="20">
        <f t="shared" si="65"/>
        <v>283490.98048493051</v>
      </c>
      <c r="CL33" s="20">
        <f t="shared" si="66"/>
        <v>-4189.5218790876097</v>
      </c>
      <c r="CM33" s="20">
        <f t="shared" si="67"/>
        <v>-201097.05019620527</v>
      </c>
      <c r="CN33" s="20">
        <f t="shared" si="68"/>
        <v>9322093784.463213</v>
      </c>
      <c r="CO33">
        <f t="shared" si="69"/>
        <v>96550.990592863483</v>
      </c>
      <c r="CP33" s="20">
        <f t="shared" si="70"/>
        <v>447460501654.23425</v>
      </c>
      <c r="CQ33">
        <f t="shared" si="71"/>
        <v>668924.8849117771</v>
      </c>
    </row>
    <row r="34" spans="4:95" x14ac:dyDescent="0.25">
      <c r="D34">
        <v>52</v>
      </c>
      <c r="E34" s="6">
        <f t="shared" si="6"/>
        <v>3.9380324788755861E-3</v>
      </c>
      <c r="F34" s="6">
        <f t="shared" si="7"/>
        <v>3.3675274962090551E-3</v>
      </c>
      <c r="G34" s="5">
        <f t="shared" si="8"/>
        <v>4.0935305658237331E-3</v>
      </c>
      <c r="I34">
        <v>50</v>
      </c>
      <c r="J34" s="9">
        <f t="shared" si="73"/>
        <v>96436.369530062919</v>
      </c>
      <c r="K34" s="9">
        <f t="shared" si="74"/>
        <v>96164.764317147376</v>
      </c>
      <c r="L34" s="9">
        <f t="shared" si="72"/>
        <v>95835.842097274988</v>
      </c>
      <c r="M34">
        <v>52</v>
      </c>
      <c r="O34">
        <v>52</v>
      </c>
      <c r="P34">
        <f t="shared" si="0"/>
        <v>0.26670822320918613</v>
      </c>
      <c r="Q34">
        <f t="shared" si="1"/>
        <v>9.9034926796079656E-2</v>
      </c>
      <c r="R34">
        <f t="shared" si="2"/>
        <v>0.26617676270288831</v>
      </c>
      <c r="S34" s="3">
        <f t="shared" si="3"/>
        <v>9.8415318869666923E-2</v>
      </c>
      <c r="T34">
        <f t="shared" si="4"/>
        <v>0.27705105037180433</v>
      </c>
      <c r="U34">
        <f t="shared" si="5"/>
        <v>0.10549060406738735</v>
      </c>
      <c r="W34">
        <v>52</v>
      </c>
      <c r="X34" s="4">
        <f t="shared" si="75"/>
        <v>15.410287983239344</v>
      </c>
      <c r="Y34" s="4">
        <f t="shared" si="10"/>
        <v>15.181927942192109</v>
      </c>
      <c r="Z34" s="4">
        <f t="shared" si="11"/>
        <v>0.76566679861966391</v>
      </c>
      <c r="AA34" s="5">
        <f t="shared" si="12"/>
        <v>0.59991997151464294</v>
      </c>
      <c r="AB34" s="4">
        <f t="shared" si="13"/>
        <v>0.57770474838308417</v>
      </c>
      <c r="AC34">
        <f t="shared" si="14"/>
        <v>0.35466060166580488</v>
      </c>
      <c r="AD34">
        <f t="shared" si="15"/>
        <v>0.3033676562297139</v>
      </c>
      <c r="AE34">
        <f t="shared" si="16"/>
        <v>0.11433607907681106</v>
      </c>
      <c r="AG34">
        <v>52</v>
      </c>
      <c r="AH34">
        <f t="shared" si="17"/>
        <v>13</v>
      </c>
      <c r="AI34" s="6">
        <f t="shared" si="18"/>
        <v>0.483013839158487</v>
      </c>
      <c r="AJ34" s="6">
        <f t="shared" si="19"/>
        <v>0.20552178367783064</v>
      </c>
      <c r="AK34" s="6">
        <f t="shared" si="20"/>
        <v>0.21019016868393881</v>
      </c>
      <c r="AL34" s="6">
        <f t="shared" si="21"/>
        <v>0.21019016868393881</v>
      </c>
      <c r="AM34" s="6">
        <f t="shared" si="22"/>
        <v>6.0654979025057676E-2</v>
      </c>
      <c r="AN34" s="6">
        <f t="shared" si="23"/>
        <v>6.203274438675898E-2</v>
      </c>
      <c r="AO34" s="6">
        <f t="shared" si="24"/>
        <v>6.203274438675898E-2</v>
      </c>
      <c r="AP34" s="6">
        <f t="shared" si="25"/>
        <v>0.54366881818354473</v>
      </c>
      <c r="AQ34" s="6">
        <f t="shared" si="26"/>
        <v>0.54504658354524593</v>
      </c>
      <c r="AR34" s="6">
        <f t="shared" si="27"/>
        <v>0.54504658354524593</v>
      </c>
      <c r="AS34" s="4">
        <f t="shared" si="28"/>
        <v>9.3436645776981599</v>
      </c>
      <c r="AT34">
        <f t="shared" si="29"/>
        <v>10</v>
      </c>
      <c r="AU34">
        <f t="shared" si="30"/>
        <v>0.24103655506117946</v>
      </c>
      <c r="AV34">
        <f t="shared" si="31"/>
        <v>0.58447933309661326</v>
      </c>
      <c r="AW34">
        <f t="shared" si="32"/>
        <v>8.5338093884449613</v>
      </c>
      <c r="AX34" s="6">
        <f t="shared" si="33"/>
        <v>5.8869247639152533</v>
      </c>
      <c r="AZ34">
        <v>52</v>
      </c>
      <c r="BA34">
        <f t="shared" si="34"/>
        <v>48</v>
      </c>
      <c r="BB34" s="8">
        <v>50000</v>
      </c>
      <c r="BC34" s="20">
        <f t="shared" si="35"/>
        <v>31502.226535220485</v>
      </c>
      <c r="BD34" s="20">
        <f t="shared" si="36"/>
        <v>1512106.8736905833</v>
      </c>
      <c r="BF34">
        <v>52</v>
      </c>
      <c r="BG34">
        <f t="shared" si="37"/>
        <v>13</v>
      </c>
      <c r="BH34">
        <f t="shared" si="38"/>
        <v>10</v>
      </c>
      <c r="BI34">
        <f t="shared" si="39"/>
        <v>0.2561525515628979</v>
      </c>
      <c r="BJ34">
        <f t="shared" si="40"/>
        <v>0.10295734216356461</v>
      </c>
      <c r="BK34">
        <f t="shared" si="41"/>
        <v>5.8406892905352843E-2</v>
      </c>
      <c r="BL34">
        <f t="shared" si="42"/>
        <v>4.455044925821177E-2</v>
      </c>
      <c r="BM34">
        <f t="shared" si="43"/>
        <v>0.30070300082110968</v>
      </c>
      <c r="BN34">
        <f t="shared" si="76"/>
        <v>0.58447933309661326</v>
      </c>
      <c r="BO34">
        <f t="shared" si="77"/>
        <v>0.37801632137707142</v>
      </c>
      <c r="BP34">
        <f t="shared" si="78"/>
        <v>8.5338093884449613</v>
      </c>
      <c r="BQ34">
        <f t="shared" si="47"/>
        <v>12.187900814957043</v>
      </c>
      <c r="BR34">
        <f t="shared" si="48"/>
        <v>0.81286107677604713</v>
      </c>
      <c r="BS34">
        <f t="shared" si="49"/>
        <v>0.18713892322395287</v>
      </c>
      <c r="BT34">
        <f t="shared" si="50"/>
        <v>4.8691111787194874E-2</v>
      </c>
      <c r="BU34">
        <f t="shared" si="51"/>
        <v>4.8691111787194874E-2</v>
      </c>
      <c r="BV34">
        <f t="shared" si="52"/>
        <v>0.32557130579678267</v>
      </c>
      <c r="BW34">
        <f t="shared" si="53"/>
        <v>0.9107946315394545</v>
      </c>
      <c r="BX34">
        <f t="shared" si="54"/>
        <v>2.2743479114552589</v>
      </c>
      <c r="BY34">
        <f t="shared" si="55"/>
        <v>3.3942787111241999</v>
      </c>
      <c r="BZ34">
        <f t="shared" si="56"/>
        <v>5.6686266225794588</v>
      </c>
      <c r="CA34">
        <f t="shared" si="57"/>
        <v>1.5299414993118507</v>
      </c>
      <c r="CB34">
        <f t="shared" si="58"/>
        <v>0.49902618832022805</v>
      </c>
      <c r="CC34" s="6">
        <f t="shared" si="59"/>
        <v>1.7803318723139299</v>
      </c>
      <c r="CE34">
        <v>52</v>
      </c>
      <c r="CF34">
        <f t="shared" si="60"/>
        <v>48</v>
      </c>
      <c r="CG34" s="20">
        <f t="shared" si="61"/>
        <v>50000</v>
      </c>
      <c r="CH34" s="20">
        <f t="shared" si="62"/>
        <v>31974.759933248788</v>
      </c>
      <c r="CI34" s="20">
        <f t="shared" si="63"/>
        <v>1534788.4767959418</v>
      </c>
      <c r="CJ34" s="20">
        <f t="shared" si="64"/>
        <v>294346.23819576268</v>
      </c>
      <c r="CK34" s="20">
        <f t="shared" si="65"/>
        <v>298761.43176869908</v>
      </c>
      <c r="CL34" s="20">
        <f t="shared" si="66"/>
        <v>-4415.193572936405</v>
      </c>
      <c r="CM34" s="20">
        <f t="shared" si="67"/>
        <v>-211929.29150094744</v>
      </c>
      <c r="CN34" s="20">
        <f t="shared" si="68"/>
        <v>10043187791.698715</v>
      </c>
      <c r="CO34">
        <f t="shared" si="69"/>
        <v>100215.70631242747</v>
      </c>
      <c r="CP34" s="20">
        <f t="shared" si="70"/>
        <v>482073014001.53833</v>
      </c>
      <c r="CQ34">
        <f t="shared" si="71"/>
        <v>694314.78019810177</v>
      </c>
    </row>
    <row r="35" spans="4:95" x14ac:dyDescent="0.25">
      <c r="D35">
        <v>53</v>
      </c>
      <c r="E35" s="6">
        <f t="shared" si="6"/>
        <v>4.3090768123518197E-3</v>
      </c>
      <c r="F35" s="6">
        <f t="shared" si="7"/>
        <v>3.684932708163946E-3</v>
      </c>
      <c r="G35" s="5">
        <f t="shared" si="8"/>
        <v>4.4811739533289208E-3</v>
      </c>
      <c r="I35">
        <v>51</v>
      </c>
      <c r="J35" s="9">
        <f t="shared" si="73"/>
        <v>96112.808805048218</v>
      </c>
      <c r="K35" s="9">
        <f t="shared" si="74"/>
        <v>95816.88808174833</v>
      </c>
      <c r="L35" s="9">
        <f t="shared" si="72"/>
        <v>95458.437438455527</v>
      </c>
      <c r="M35">
        <v>53</v>
      </c>
      <c r="O35">
        <v>53</v>
      </c>
      <c r="P35">
        <f t="shared" si="0"/>
        <v>0.27719721352066806</v>
      </c>
      <c r="Q35">
        <f t="shared" si="1"/>
        <v>0.10566408290412932</v>
      </c>
      <c r="R35">
        <f t="shared" si="2"/>
        <v>0.27662456136520225</v>
      </c>
      <c r="S35" s="3">
        <f t="shared" si="3"/>
        <v>0.1049916128705401</v>
      </c>
      <c r="T35">
        <f t="shared" si="4"/>
        <v>0.28783149642089956</v>
      </c>
      <c r="U35">
        <f t="shared" si="5"/>
        <v>0.11248281207492765</v>
      </c>
      <c r="W35">
        <v>53</v>
      </c>
      <c r="X35" s="4">
        <f t="shared" si="75"/>
        <v>15.190884211330753</v>
      </c>
      <c r="Y35" s="4">
        <f t="shared" si="10"/>
        <v>14.955538575161111</v>
      </c>
      <c r="Z35" s="4">
        <f t="shared" si="11"/>
        <v>0.76398413442151913</v>
      </c>
      <c r="AA35" s="5">
        <f t="shared" si="12"/>
        <v>0.59860156008601684</v>
      </c>
      <c r="AB35" s="4">
        <f t="shared" si="13"/>
        <v>0.57432734660253226</v>
      </c>
      <c r="AC35">
        <f t="shared" si="14"/>
        <v>0.3525871699501919</v>
      </c>
      <c r="AD35">
        <f t="shared" si="15"/>
        <v>0.29698465662673296</v>
      </c>
      <c r="AE35">
        <f t="shared" si="16"/>
        <v>0.11193039365726505</v>
      </c>
      <c r="AG35">
        <v>53</v>
      </c>
      <c r="AH35">
        <f t="shared" si="17"/>
        <v>12</v>
      </c>
      <c r="AI35" s="6">
        <f t="shared" si="18"/>
        <v>0.50920763230519295</v>
      </c>
      <c r="AJ35" s="6">
        <f t="shared" si="19"/>
        <v>0.21666720985894827</v>
      </c>
      <c r="AK35" s="6">
        <f t="shared" si="20"/>
        <v>0.2215887609262861</v>
      </c>
      <c r="AL35" s="6">
        <f t="shared" si="21"/>
        <v>0.2215887609262861</v>
      </c>
      <c r="AM35" s="6">
        <f t="shared" si="22"/>
        <v>5.9957351506253975E-2</v>
      </c>
      <c r="AN35" s="6">
        <f t="shared" si="23"/>
        <v>6.1319270402484076E-2</v>
      </c>
      <c r="AO35" s="6">
        <f t="shared" si="24"/>
        <v>6.1319270402484076E-2</v>
      </c>
      <c r="AP35" s="6">
        <f t="shared" si="25"/>
        <v>0.56916498381144698</v>
      </c>
      <c r="AQ35" s="6">
        <f t="shared" si="26"/>
        <v>0.57052690270767703</v>
      </c>
      <c r="AR35" s="6">
        <f t="shared" si="27"/>
        <v>0.57052690270767703</v>
      </c>
      <c r="AS35" s="4">
        <f t="shared" si="28"/>
        <v>8.8203592304349225</v>
      </c>
      <c r="AT35">
        <f t="shared" si="29"/>
        <v>10</v>
      </c>
      <c r="AU35">
        <f t="shared" si="30"/>
        <v>0.2541079438128287</v>
      </c>
      <c r="AV35">
        <f t="shared" si="31"/>
        <v>0.58447933309661326</v>
      </c>
      <c r="AW35">
        <f t="shared" si="32"/>
        <v>8.5338093884449613</v>
      </c>
      <c r="AX35" s="6">
        <f t="shared" si="33"/>
        <v>6.2061721167548072</v>
      </c>
      <c r="AZ35">
        <v>53</v>
      </c>
      <c r="BA35">
        <f t="shared" si="34"/>
        <v>48</v>
      </c>
      <c r="BB35" s="8">
        <v>50000</v>
      </c>
      <c r="BC35" s="20">
        <f t="shared" si="35"/>
        <v>35180.948726783245</v>
      </c>
      <c r="BD35" s="20">
        <f t="shared" si="36"/>
        <v>1688685.5388855957</v>
      </c>
      <c r="BF35">
        <v>53</v>
      </c>
      <c r="BG35">
        <f t="shared" si="37"/>
        <v>12</v>
      </c>
      <c r="BH35">
        <f t="shared" si="38"/>
        <v>10</v>
      </c>
      <c r="BI35">
        <f t="shared" si="39"/>
        <v>0.28354586328913167</v>
      </c>
      <c r="BJ35">
        <f t="shared" si="40"/>
        <v>0.10983714257870895</v>
      </c>
      <c r="BK35">
        <f t="shared" si="41"/>
        <v>6.4653007630953052E-2</v>
      </c>
      <c r="BL35">
        <f t="shared" si="42"/>
        <v>4.5184134947755902E-2</v>
      </c>
      <c r="BM35">
        <f t="shared" si="43"/>
        <v>0.32872999823688759</v>
      </c>
      <c r="BN35">
        <f t="shared" si="76"/>
        <v>0.58447933309661326</v>
      </c>
      <c r="BO35">
        <f t="shared" si="77"/>
        <v>0.37801632137707142</v>
      </c>
      <c r="BP35">
        <f t="shared" si="78"/>
        <v>8.5338093884449613</v>
      </c>
      <c r="BQ35">
        <f t="shared" si="47"/>
        <v>12.187900814957043</v>
      </c>
      <c r="BR35">
        <f t="shared" si="48"/>
        <v>0.81286107677604713</v>
      </c>
      <c r="BS35">
        <f t="shared" si="49"/>
        <v>0.18713892322395287</v>
      </c>
      <c r="BT35">
        <f t="shared" si="50"/>
        <v>4.8691111787194874E-2</v>
      </c>
      <c r="BU35">
        <f t="shared" si="51"/>
        <v>4.8691111787194874E-2</v>
      </c>
      <c r="BV35">
        <f t="shared" si="52"/>
        <v>0.3418498710866219</v>
      </c>
      <c r="BW35">
        <f t="shared" si="53"/>
        <v>0.91446374773403116</v>
      </c>
      <c r="BX35">
        <f t="shared" si="54"/>
        <v>2.5175698545211067</v>
      </c>
      <c r="BY35">
        <f t="shared" si="55"/>
        <v>3.6027270151458173</v>
      </c>
      <c r="BZ35">
        <f t="shared" si="56"/>
        <v>6.120296869666924</v>
      </c>
      <c r="CA35">
        <f t="shared" si="57"/>
        <v>1.3619952487913878</v>
      </c>
      <c r="CB35">
        <f t="shared" si="58"/>
        <v>0.49902618832022805</v>
      </c>
      <c r="CC35" s="6">
        <f t="shared" si="59"/>
        <v>1.7448625440075745</v>
      </c>
      <c r="CE35">
        <v>53</v>
      </c>
      <c r="CF35">
        <f t="shared" si="60"/>
        <v>48</v>
      </c>
      <c r="CG35" s="20">
        <f t="shared" si="61"/>
        <v>50000</v>
      </c>
      <c r="CH35" s="20">
        <f t="shared" si="62"/>
        <v>35708.662957684988</v>
      </c>
      <c r="CI35" s="20">
        <f t="shared" si="63"/>
        <v>1714015.8219688796</v>
      </c>
      <c r="CJ35" s="20">
        <f t="shared" si="64"/>
        <v>310308.60583774035</v>
      </c>
      <c r="CK35" s="20">
        <f t="shared" si="65"/>
        <v>314963.2349253064</v>
      </c>
      <c r="CL35" s="20">
        <f t="shared" si="66"/>
        <v>-4654.6290875660488</v>
      </c>
      <c r="CM35" s="20">
        <f t="shared" si="67"/>
        <v>-223422.19620317034</v>
      </c>
      <c r="CN35" s="20">
        <f t="shared" si="68"/>
        <v>10806763193.841965</v>
      </c>
      <c r="CO35">
        <f t="shared" si="69"/>
        <v>103955.58279304659</v>
      </c>
      <c r="CP35" s="20">
        <f t="shared" si="70"/>
        <v>518724633304.41431</v>
      </c>
      <c r="CQ35">
        <f t="shared" si="71"/>
        <v>720225.40451195859</v>
      </c>
    </row>
    <row r="36" spans="4:95" x14ac:dyDescent="0.25">
      <c r="D36">
        <v>54</v>
      </c>
      <c r="E36" s="6">
        <f t="shared" si="6"/>
        <v>4.7170659391311265E-3</v>
      </c>
      <c r="F36" s="6">
        <f t="shared" si="7"/>
        <v>4.0339616876694517E-3</v>
      </c>
      <c r="G36" s="5">
        <f t="shared" si="8"/>
        <v>4.9074074096150389E-3</v>
      </c>
      <c r="I36">
        <v>52</v>
      </c>
      <c r="J36" s="9">
        <f t="shared" si="73"/>
        <v>95760.252440209224</v>
      </c>
      <c r="K36" s="9">
        <f t="shared" si="74"/>
        <v>95437.777157072895</v>
      </c>
      <c r="L36" s="9">
        <f t="shared" si="72"/>
        <v>95047.099699146143</v>
      </c>
      <c r="M36">
        <v>54</v>
      </c>
      <c r="O36">
        <v>54</v>
      </c>
      <c r="P36">
        <f t="shared" si="0"/>
        <v>0.28798896395112467</v>
      </c>
      <c r="Q36">
        <f t="shared" si="1"/>
        <v>0.11267108294037169</v>
      </c>
      <c r="R36">
        <f t="shared" si="2"/>
        <v>0.28737209862176649</v>
      </c>
      <c r="S36" s="3">
        <f t="shared" si="3"/>
        <v>0.11194133153814599</v>
      </c>
      <c r="T36">
        <f t="shared" si="4"/>
        <v>0.29891254361408831</v>
      </c>
      <c r="U36">
        <f t="shared" si="5"/>
        <v>0.11986488669375593</v>
      </c>
      <c r="W36">
        <v>54</v>
      </c>
      <c r="X36" s="4">
        <f t="shared" si="75"/>
        <v>14.965185928942905</v>
      </c>
      <c r="Y36" s="4">
        <f t="shared" si="10"/>
        <v>14.722836584104147</v>
      </c>
      <c r="Z36" s="4">
        <f t="shared" si="11"/>
        <v>0.76213747456434811</v>
      </c>
      <c r="AA36" s="5">
        <f t="shared" si="12"/>
        <v>0.59715465376735632</v>
      </c>
      <c r="AB36" s="4">
        <f t="shared" si="13"/>
        <v>0.57063500579384729</v>
      </c>
      <c r="AC36">
        <f t="shared" si="14"/>
        <v>0.35032039299115086</v>
      </c>
      <c r="AD36">
        <f t="shared" si="15"/>
        <v>0.29011836580456474</v>
      </c>
      <c r="AE36">
        <f t="shared" si="16"/>
        <v>0.10934256086004246</v>
      </c>
      <c r="AG36">
        <v>54</v>
      </c>
      <c r="AH36">
        <f t="shared" si="17"/>
        <v>11</v>
      </c>
      <c r="AI36" s="6">
        <f t="shared" si="18"/>
        <v>0.53702596407746128</v>
      </c>
      <c r="AJ36" s="6">
        <f t="shared" si="19"/>
        <v>0.22850387519081322</v>
      </c>
      <c r="AK36" s="6">
        <f t="shared" si="20"/>
        <v>0.23369429367438668</v>
      </c>
      <c r="AL36" s="6">
        <f t="shared" si="21"/>
        <v>0.23369429367438668</v>
      </c>
      <c r="AM36" s="6">
        <f t="shared" si="22"/>
        <v>5.886822343095327E-2</v>
      </c>
      <c r="AN36" s="6">
        <f t="shared" si="23"/>
        <v>6.020540300716834E-2</v>
      </c>
      <c r="AO36" s="6">
        <f t="shared" si="24"/>
        <v>6.020540300716834E-2</v>
      </c>
      <c r="AP36" s="6">
        <f t="shared" si="25"/>
        <v>0.5958941875084145</v>
      </c>
      <c r="AQ36" s="6">
        <f t="shared" si="26"/>
        <v>0.59723136708462965</v>
      </c>
      <c r="AR36" s="6">
        <f t="shared" si="27"/>
        <v>0.59723136708462965</v>
      </c>
      <c r="AS36" s="4">
        <f t="shared" si="28"/>
        <v>8.2719128426493072</v>
      </c>
      <c r="AT36">
        <f t="shared" si="29"/>
        <v>10</v>
      </c>
      <c r="AU36">
        <f t="shared" si="30"/>
        <v>0.26799001988257121</v>
      </c>
      <c r="AV36">
        <f t="shared" si="31"/>
        <v>0.58447933309661326</v>
      </c>
      <c r="AW36">
        <f t="shared" si="32"/>
        <v>8.5338093884449613</v>
      </c>
      <c r="AX36" s="6">
        <f t="shared" si="33"/>
        <v>6.5452191852327815</v>
      </c>
      <c r="AZ36">
        <v>54</v>
      </c>
      <c r="BA36">
        <f t="shared" si="34"/>
        <v>48</v>
      </c>
      <c r="BB36" s="8">
        <v>50000</v>
      </c>
      <c r="BC36" s="20">
        <f t="shared" si="35"/>
        <v>39562.911927010187</v>
      </c>
      <c r="BD36" s="20">
        <f t="shared" si="36"/>
        <v>1899019.7724964889</v>
      </c>
      <c r="BF36">
        <v>54</v>
      </c>
      <c r="BG36">
        <f t="shared" si="37"/>
        <v>11</v>
      </c>
      <c r="BH36">
        <f t="shared" si="38"/>
        <v>10</v>
      </c>
      <c r="BI36">
        <f t="shared" si="39"/>
        <v>0.31398795889776876</v>
      </c>
      <c r="BJ36">
        <f t="shared" si="40"/>
        <v>0.11710760180212307</v>
      </c>
      <c r="BK36">
        <f t="shared" si="41"/>
        <v>7.1594294013538964E-2</v>
      </c>
      <c r="BL36">
        <f t="shared" si="42"/>
        <v>4.5513307788584104E-2</v>
      </c>
      <c r="BM36">
        <f t="shared" si="43"/>
        <v>0.35950126668635285</v>
      </c>
      <c r="BN36">
        <f t="shared" si="76"/>
        <v>0.58447933309661326</v>
      </c>
      <c r="BO36">
        <f t="shared" si="77"/>
        <v>0.37801632137707142</v>
      </c>
      <c r="BP36">
        <f t="shared" si="78"/>
        <v>8.5338093884449613</v>
      </c>
      <c r="BQ36">
        <f t="shared" si="47"/>
        <v>12.187900814957043</v>
      </c>
      <c r="BR36">
        <f t="shared" si="48"/>
        <v>0.81286107677604713</v>
      </c>
      <c r="BS36">
        <f t="shared" si="49"/>
        <v>0.18713892322395287</v>
      </c>
      <c r="BT36">
        <f t="shared" si="50"/>
        <v>4.8691111787194874E-2</v>
      </c>
      <c r="BU36">
        <f t="shared" si="51"/>
        <v>4.8691111787194874E-2</v>
      </c>
      <c r="BV36">
        <f t="shared" si="52"/>
        <v>0.35894236464095297</v>
      </c>
      <c r="BW36">
        <f t="shared" si="53"/>
        <v>0.91849664269203957</v>
      </c>
      <c r="BX36">
        <f t="shared" si="54"/>
        <v>2.7878615855438373</v>
      </c>
      <c r="BY36">
        <f t="shared" si="55"/>
        <v>3.8014240230398997</v>
      </c>
      <c r="BZ36">
        <f t="shared" si="56"/>
        <v>6.5892856085837366</v>
      </c>
      <c r="CA36">
        <f t="shared" si="57"/>
        <v>1.1877559956301775</v>
      </c>
      <c r="CB36">
        <f t="shared" si="58"/>
        <v>0.49902618832022805</v>
      </c>
      <c r="CC36" s="6">
        <f t="shared" si="59"/>
        <v>1.6872915551275653</v>
      </c>
      <c r="CE36">
        <v>54</v>
      </c>
      <c r="CF36">
        <f t="shared" si="60"/>
        <v>48</v>
      </c>
      <c r="CG36" s="20">
        <f t="shared" si="61"/>
        <v>50000</v>
      </c>
      <c r="CH36" s="20">
        <f t="shared" si="62"/>
        <v>40156.355605915334</v>
      </c>
      <c r="CI36" s="20">
        <f t="shared" si="63"/>
        <v>1927505.069083936</v>
      </c>
      <c r="CJ36" s="20">
        <f t="shared" si="64"/>
        <v>327260.95926163904</v>
      </c>
      <c r="CK36" s="20">
        <f t="shared" si="65"/>
        <v>332169.87365056353</v>
      </c>
      <c r="CL36" s="20">
        <f t="shared" si="66"/>
        <v>-4908.9143889244879</v>
      </c>
      <c r="CM36" s="20">
        <f t="shared" si="67"/>
        <v>-235627.89066837542</v>
      </c>
      <c r="CN36" s="20">
        <f t="shared" si="68"/>
        <v>11612961666.442192</v>
      </c>
      <c r="CO36">
        <f t="shared" si="69"/>
        <v>107763.45236879798</v>
      </c>
      <c r="CP36" s="20">
        <f t="shared" si="70"/>
        <v>557422159989.22522</v>
      </c>
      <c r="CQ36">
        <f t="shared" si="71"/>
        <v>746607.09880714712</v>
      </c>
    </row>
    <row r="37" spans="4:95" x14ac:dyDescent="0.25">
      <c r="D37">
        <v>55</v>
      </c>
      <c r="E37" s="6">
        <f t="shared" si="6"/>
        <v>5.1656608935238824E-3</v>
      </c>
      <c r="F37" s="6">
        <f t="shared" si="7"/>
        <v>4.4177523428551302E-3</v>
      </c>
      <c r="G37" s="5">
        <f t="shared" si="8"/>
        <v>5.3760534354223566E-3</v>
      </c>
      <c r="I37">
        <v>53</v>
      </c>
      <c r="J37" s="9">
        <f t="shared" si="73"/>
        <v>95376.032186649958</v>
      </c>
      <c r="K37" s="9">
        <f t="shared" si="74"/>
        <v>95024.577926070473</v>
      </c>
      <c r="L37" s="9">
        <f t="shared" si="72"/>
        <v>94598.756262542098</v>
      </c>
      <c r="M37">
        <v>55</v>
      </c>
      <c r="O37">
        <v>55</v>
      </c>
      <c r="P37">
        <f t="shared" si="0"/>
        <v>0.29908213636801395</v>
      </c>
      <c r="Q37">
        <f t="shared" si="1"/>
        <v>0.12006917722887449</v>
      </c>
      <c r="R37">
        <f t="shared" si="2"/>
        <v>0.29841787150686483</v>
      </c>
      <c r="S37" s="3">
        <f t="shared" si="3"/>
        <v>0.11927741688555743</v>
      </c>
      <c r="T37">
        <f t="shared" si="4"/>
        <v>0.31029180508825033</v>
      </c>
      <c r="U37">
        <f t="shared" si="5"/>
        <v>0.12764952375610983</v>
      </c>
      <c r="W37">
        <v>55</v>
      </c>
      <c r="X37" s="4">
        <f t="shared" si="75"/>
        <v>14.733224698355839</v>
      </c>
      <c r="Y37" s="4">
        <f t="shared" si="10"/>
        <v>14.483872093146744</v>
      </c>
      <c r="Z37" s="4">
        <f t="shared" si="11"/>
        <v>0.76011130381380565</v>
      </c>
      <c r="AA37" s="5">
        <f t="shared" si="12"/>
        <v>0.59556709596657331</v>
      </c>
      <c r="AB37" s="4">
        <f t="shared" si="13"/>
        <v>0.56660084240641029</v>
      </c>
      <c r="AC37">
        <f t="shared" si="14"/>
        <v>0.34784376662065436</v>
      </c>
      <c r="AD37">
        <f t="shared" si="15"/>
        <v>0.28274865868510113</v>
      </c>
      <c r="AE37">
        <f t="shared" si="16"/>
        <v>0.10656499575486235</v>
      </c>
      <c r="AG37">
        <v>55</v>
      </c>
      <c r="AH37">
        <f t="shared" si="17"/>
        <v>10</v>
      </c>
      <c r="AI37" s="6">
        <f t="shared" si="18"/>
        <v>0.56660084240641029</v>
      </c>
      <c r="AJ37" s="6">
        <f t="shared" si="19"/>
        <v>0.24108794888280116</v>
      </c>
      <c r="AK37" s="6">
        <f t="shared" si="20"/>
        <v>0.24656421200964385</v>
      </c>
      <c r="AL37" s="6">
        <f t="shared" si="21"/>
        <v>0.24656421200964385</v>
      </c>
      <c r="AM37" s="6">
        <f t="shared" si="22"/>
        <v>5.7329922624063667E-2</v>
      </c>
      <c r="AN37" s="6">
        <f t="shared" si="23"/>
        <v>5.8632160014135466E-2</v>
      </c>
      <c r="AO37" s="6">
        <f t="shared" si="24"/>
        <v>5.8632160014135466E-2</v>
      </c>
      <c r="AP37" s="6">
        <f t="shared" si="25"/>
        <v>0.62393076503047395</v>
      </c>
      <c r="AQ37" s="6">
        <f t="shared" si="26"/>
        <v>0.6252330024205458</v>
      </c>
      <c r="AR37" s="6">
        <f t="shared" si="27"/>
        <v>0.6252330024205458</v>
      </c>
      <c r="AS37" s="4">
        <f t="shared" si="28"/>
        <v>7.6968256386787415</v>
      </c>
      <c r="AT37">
        <f t="shared" si="29"/>
        <v>10</v>
      </c>
      <c r="AU37">
        <f t="shared" si="30"/>
        <v>0.28274865868510113</v>
      </c>
      <c r="AV37">
        <f t="shared" si="31"/>
        <v>0.58447933309661326</v>
      </c>
      <c r="AW37">
        <f t="shared" si="32"/>
        <v>8.5338093884449613</v>
      </c>
      <c r="AX37" s="6">
        <f t="shared" si="33"/>
        <v>6.9056748689204355</v>
      </c>
      <c r="AZ37">
        <v>55</v>
      </c>
      <c r="BA37">
        <f t="shared" si="34"/>
        <v>48</v>
      </c>
      <c r="BB37" s="8">
        <v>50000</v>
      </c>
      <c r="BC37" s="20">
        <f t="shared" si="35"/>
        <v>44860.538572015008</v>
      </c>
      <c r="BD37" s="20">
        <f t="shared" si="36"/>
        <v>2153305.8514567204</v>
      </c>
      <c r="BF37">
        <v>55</v>
      </c>
      <c r="BG37">
        <f t="shared" si="37"/>
        <v>10</v>
      </c>
      <c r="BH37">
        <f t="shared" si="38"/>
        <v>10</v>
      </c>
      <c r="BI37">
        <f t="shared" si="39"/>
        <v>0.34784376662065436</v>
      </c>
      <c r="BJ37">
        <f t="shared" si="40"/>
        <v>0.12478225914134092</v>
      </c>
      <c r="BK37">
        <f t="shared" si="41"/>
        <v>7.9313961546927728E-2</v>
      </c>
      <c r="BL37">
        <f t="shared" si="42"/>
        <v>4.546829759441319E-2</v>
      </c>
      <c r="BM37">
        <f t="shared" si="43"/>
        <v>0.39331206421506754</v>
      </c>
      <c r="BN37">
        <f t="shared" si="76"/>
        <v>0.58447933309661326</v>
      </c>
      <c r="BO37">
        <f t="shared" si="77"/>
        <v>0.37801632137707142</v>
      </c>
      <c r="BP37">
        <f t="shared" si="78"/>
        <v>8.5338093884449613</v>
      </c>
      <c r="BQ37">
        <f t="shared" si="47"/>
        <v>12.187900814957043</v>
      </c>
      <c r="BR37">
        <f t="shared" si="48"/>
        <v>0.81286107677604713</v>
      </c>
      <c r="BS37">
        <f t="shared" si="49"/>
        <v>0.18713892322395287</v>
      </c>
      <c r="BT37">
        <f t="shared" si="50"/>
        <v>4.8691111787194874E-2</v>
      </c>
      <c r="BU37">
        <f t="shared" si="51"/>
        <v>4.8691111787194874E-2</v>
      </c>
      <c r="BV37">
        <f t="shared" si="52"/>
        <v>0.37688948287300061</v>
      </c>
      <c r="BW37">
        <f t="shared" si="53"/>
        <v>0.9229330677233738</v>
      </c>
      <c r="BX37">
        <f t="shared" si="54"/>
        <v>3.0884632587083876</v>
      </c>
      <c r="BY37">
        <f t="shared" si="55"/>
        <v>3.982081272724332</v>
      </c>
      <c r="BZ37">
        <f t="shared" si="56"/>
        <v>7.07054453143272</v>
      </c>
      <c r="CA37">
        <f t="shared" si="57"/>
        <v>1.0105163978110192</v>
      </c>
      <c r="CB37">
        <f t="shared" si="58"/>
        <v>0.49902618832022805</v>
      </c>
      <c r="CC37" s="6">
        <f t="shared" si="59"/>
        <v>1.605436854744184</v>
      </c>
      <c r="CE37">
        <v>55</v>
      </c>
      <c r="CF37">
        <f t="shared" si="60"/>
        <v>48</v>
      </c>
      <c r="CG37" s="20">
        <f t="shared" si="61"/>
        <v>50000</v>
      </c>
      <c r="CH37" s="20">
        <f t="shared" si="62"/>
        <v>45533.44665059523</v>
      </c>
      <c r="CI37" s="20">
        <f t="shared" si="63"/>
        <v>2185605.439228571</v>
      </c>
      <c r="CJ37" s="20">
        <f t="shared" si="64"/>
        <v>345283.74344602175</v>
      </c>
      <c r="CK37" s="20">
        <f t="shared" si="65"/>
        <v>350462.99959771201</v>
      </c>
      <c r="CL37" s="20">
        <f t="shared" si="66"/>
        <v>-5179.2561516902642</v>
      </c>
      <c r="CM37" s="20">
        <f t="shared" si="67"/>
        <v>-248604.29528113268</v>
      </c>
      <c r="CN37" s="20">
        <f t="shared" si="68"/>
        <v>12461352347.341522</v>
      </c>
      <c r="CO37">
        <f t="shared" si="69"/>
        <v>111630.42751571599</v>
      </c>
      <c r="CP37" s="20">
        <f t="shared" si="70"/>
        <v>598144912672.39307</v>
      </c>
      <c r="CQ37">
        <f t="shared" si="71"/>
        <v>773398.28851141967</v>
      </c>
    </row>
    <row r="38" spans="4:95" x14ac:dyDescent="0.25">
      <c r="D38">
        <v>56</v>
      </c>
      <c r="E38" s="6">
        <f t="shared" si="6"/>
        <v>5.6588818160492327E-3</v>
      </c>
      <c r="F38" s="6">
        <f t="shared" si="7"/>
        <v>4.8397512506587193E-3</v>
      </c>
      <c r="G38" s="5">
        <f t="shared" si="8"/>
        <v>5.8913091451959776E-3</v>
      </c>
      <c r="I38">
        <v>54</v>
      </c>
      <c r="J38" s="9">
        <f t="shared" si="73"/>
        <v>94957.259268555208</v>
      </c>
      <c r="K38" s="9">
        <f t="shared" si="74"/>
        <v>94574.205322699767</v>
      </c>
      <c r="L38" s="9">
        <f t="shared" si="72"/>
        <v>94110.091166740691</v>
      </c>
      <c r="M38">
        <v>56</v>
      </c>
      <c r="O38">
        <v>56</v>
      </c>
      <c r="P38">
        <f t="shared" si="0"/>
        <v>0.31047438769585206</v>
      </c>
      <c r="Q38">
        <f t="shared" si="1"/>
        <v>0.12787114597950669</v>
      </c>
      <c r="R38">
        <f t="shared" si="2"/>
        <v>0.30975937078125393</v>
      </c>
      <c r="S38" s="3">
        <f t="shared" si="3"/>
        <v>0.12701232880928567</v>
      </c>
      <c r="T38">
        <f t="shared" si="4"/>
        <v>0.32196582256207201</v>
      </c>
      <c r="U38">
        <f t="shared" si="5"/>
        <v>0.13584881573744453</v>
      </c>
      <c r="W38">
        <v>56</v>
      </c>
      <c r="X38" s="4">
        <f t="shared" si="75"/>
        <v>14.495053213593668</v>
      </c>
      <c r="Y38" s="4">
        <f t="shared" si="10"/>
        <v>14.238717726196487</v>
      </c>
      <c r="Z38" s="4">
        <f t="shared" si="11"/>
        <v>0.75788873701741133</v>
      </c>
      <c r="AA38" s="5">
        <f t="shared" si="12"/>
        <v>0.59382565672487442</v>
      </c>
      <c r="AB38" s="4">
        <f t="shared" si="13"/>
        <v>0.56219619543217303</v>
      </c>
      <c r="AC38">
        <f t="shared" si="14"/>
        <v>0.34513969546600193</v>
      </c>
      <c r="AD38">
        <f t="shared" si="15"/>
        <v>0.27485802236259693</v>
      </c>
      <c r="AE38">
        <f t="shared" si="16"/>
        <v>0.10359109791173481</v>
      </c>
      <c r="AG38">
        <v>56</v>
      </c>
      <c r="AH38">
        <f t="shared" si="17"/>
        <v>9</v>
      </c>
      <c r="AI38" s="6">
        <f t="shared" si="18"/>
        <v>0.59807941815053323</v>
      </c>
      <c r="AJ38" s="6">
        <f t="shared" si="19"/>
        <v>0.25448204344092223</v>
      </c>
      <c r="AK38" s="6">
        <f t="shared" si="20"/>
        <v>0.26026255066825182</v>
      </c>
      <c r="AL38" s="6">
        <f t="shared" si="21"/>
        <v>0.26026255066825182</v>
      </c>
      <c r="AM38" s="6">
        <f t="shared" si="22"/>
        <v>5.5277327340331694E-2</v>
      </c>
      <c r="AN38" s="6">
        <f t="shared" si="23"/>
        <v>5.6532940451094964E-2</v>
      </c>
      <c r="AO38" s="6">
        <f t="shared" si="24"/>
        <v>5.6532940451094964E-2</v>
      </c>
      <c r="AP38" s="6">
        <f t="shared" si="25"/>
        <v>0.65335674549086487</v>
      </c>
      <c r="AQ38" s="6">
        <f t="shared" si="26"/>
        <v>0.65461235860162814</v>
      </c>
      <c r="AR38" s="6">
        <f t="shared" si="27"/>
        <v>0.65461235860162814</v>
      </c>
      <c r="AS38" s="4">
        <f t="shared" si="28"/>
        <v>7.0934433148270051</v>
      </c>
      <c r="AT38">
        <f t="shared" si="29"/>
        <v>10</v>
      </c>
      <c r="AU38">
        <f t="shared" si="30"/>
        <v>0.2984572923524404</v>
      </c>
      <c r="AV38">
        <f t="shared" si="31"/>
        <v>0.58447933309661326</v>
      </c>
      <c r="AW38">
        <f t="shared" si="32"/>
        <v>8.5338093884449613</v>
      </c>
      <c r="AX38" s="6">
        <f t="shared" si="33"/>
        <v>7.2893326278859174</v>
      </c>
      <c r="AZ38">
        <v>56</v>
      </c>
      <c r="BA38">
        <f t="shared" si="34"/>
        <v>48</v>
      </c>
      <c r="BB38" s="8">
        <v>50000</v>
      </c>
      <c r="BC38" s="20">
        <f t="shared" si="35"/>
        <v>51380.777320440815</v>
      </c>
      <c r="BD38" s="20">
        <f t="shared" si="36"/>
        <v>2466277.3113811594</v>
      </c>
      <c r="BF38">
        <v>56</v>
      </c>
      <c r="BG38">
        <f t="shared" si="37"/>
        <v>9</v>
      </c>
      <c r="BH38">
        <f t="shared" si="38"/>
        <v>10</v>
      </c>
      <c r="BI38">
        <f t="shared" si="39"/>
        <v>0.38552732554618602</v>
      </c>
      <c r="BJ38">
        <f t="shared" si="40"/>
        <v>0.13287414953688964</v>
      </c>
      <c r="BK38">
        <f t="shared" si="41"/>
        <v>8.7906417788440647E-2</v>
      </c>
      <c r="BL38">
        <f t="shared" si="42"/>
        <v>4.4967731748448994E-2</v>
      </c>
      <c r="BM38">
        <f t="shared" si="43"/>
        <v>0.430495057294635</v>
      </c>
      <c r="BN38">
        <f t="shared" si="76"/>
        <v>0.58447933309661326</v>
      </c>
      <c r="BO38">
        <f t="shared" si="77"/>
        <v>0.37801632137707142</v>
      </c>
      <c r="BP38">
        <f t="shared" si="78"/>
        <v>8.5338093884449613</v>
      </c>
      <c r="BQ38">
        <f t="shared" si="47"/>
        <v>12.187900814957043</v>
      </c>
      <c r="BR38">
        <f t="shared" si="48"/>
        <v>0.81286107677604713</v>
      </c>
      <c r="BS38">
        <f t="shared" si="49"/>
        <v>0.18713892322395287</v>
      </c>
      <c r="BT38">
        <f t="shared" si="50"/>
        <v>4.8691111787194874E-2</v>
      </c>
      <c r="BU38">
        <f t="shared" si="51"/>
        <v>4.8691111787194874E-2</v>
      </c>
      <c r="BV38">
        <f t="shared" si="52"/>
        <v>0.39573395701665059</v>
      </c>
      <c r="BW38">
        <f t="shared" si="53"/>
        <v>0.92781747677293558</v>
      </c>
      <c r="BX38">
        <f t="shared" si="54"/>
        <v>3.4230510776294061</v>
      </c>
      <c r="BY38">
        <f t="shared" si="55"/>
        <v>4.1337579903827804</v>
      </c>
      <c r="BZ38">
        <f t="shared" si="56"/>
        <v>7.5568090680121864</v>
      </c>
      <c r="CA38">
        <f t="shared" si="57"/>
        <v>0.83418969710099833</v>
      </c>
      <c r="CB38">
        <f t="shared" si="58"/>
        <v>0.49902618832022805</v>
      </c>
      <c r="CC38" s="6">
        <f t="shared" si="59"/>
        <v>1.4975714516096232</v>
      </c>
      <c r="CE38">
        <v>56</v>
      </c>
      <c r="CF38">
        <f t="shared" si="60"/>
        <v>48</v>
      </c>
      <c r="CG38" s="20">
        <f t="shared" si="61"/>
        <v>50000</v>
      </c>
      <c r="CH38" s="20">
        <f t="shared" si="62"/>
        <v>52151.488980247421</v>
      </c>
      <c r="CI38" s="20">
        <f t="shared" si="63"/>
        <v>2503271.4710518764</v>
      </c>
      <c r="CJ38" s="20">
        <f t="shared" si="64"/>
        <v>364466.6313942959</v>
      </c>
      <c r="CK38" s="20">
        <f t="shared" si="65"/>
        <v>369933.63086521032</v>
      </c>
      <c r="CL38" s="20">
        <f t="shared" si="66"/>
        <v>-5466.999470914423</v>
      </c>
      <c r="CM38" s="20">
        <f t="shared" si="67"/>
        <v>-262415.9746038923</v>
      </c>
      <c r="CN38" s="20">
        <f t="shared" si="68"/>
        <v>13350775186.002419</v>
      </c>
      <c r="CO38">
        <f t="shared" si="69"/>
        <v>115545.55459212794</v>
      </c>
      <c r="CP38" s="20">
        <f t="shared" si="70"/>
        <v>640837208928.11609</v>
      </c>
      <c r="CQ38">
        <f t="shared" si="71"/>
        <v>800523.08456915605</v>
      </c>
    </row>
    <row r="39" spans="4:95" x14ac:dyDescent="0.25">
      <c r="D39">
        <v>57</v>
      </c>
      <c r="E39" s="6">
        <f t="shared" si="6"/>
        <v>6.2011424033017182E-3</v>
      </c>
      <c r="F39" s="6">
        <f t="shared" si="7"/>
        <v>5.3037434535049277E-3</v>
      </c>
      <c r="G39" s="5">
        <f t="shared" si="8"/>
        <v>6.4577821346967212E-3</v>
      </c>
      <c r="I39">
        <v>55</v>
      </c>
      <c r="J39" s="9">
        <f t="shared" si="73"/>
        <v>94500.811475471928</v>
      </c>
      <c r="K39" s="9">
        <f t="shared" si="74"/>
        <v>94083.330294174462</v>
      </c>
      <c r="L39" s="9">
        <f t="shared" si="72"/>
        <v>93577.533283130484</v>
      </c>
      <c r="M39">
        <v>57</v>
      </c>
      <c r="O39">
        <v>57</v>
      </c>
      <c r="P39">
        <f t="shared" si="0"/>
        <v>0.32216230366663107</v>
      </c>
      <c r="Q39">
        <f t="shared" si="1"/>
        <v>0.1360891691510269</v>
      </c>
      <c r="R39">
        <f t="shared" si="2"/>
        <v>0.32139301588785624</v>
      </c>
      <c r="S39" s="3">
        <f t="shared" si="3"/>
        <v>0.13515791605007493</v>
      </c>
      <c r="T39">
        <f t="shared" si="4"/>
        <v>0.33393000229233094</v>
      </c>
      <c r="U39">
        <f t="shared" si="5"/>
        <v>0.14447411262071574</v>
      </c>
      <c r="W39">
        <v>57</v>
      </c>
      <c r="X39" s="4">
        <f t="shared" si="75"/>
        <v>14.25074666635502</v>
      </c>
      <c r="Y39" s="4">
        <f t="shared" si="10"/>
        <v>13.987469951861051</v>
      </c>
      <c r="Z39" s="4">
        <f t="shared" si="11"/>
        <v>0.75545141891087586</v>
      </c>
      <c r="AA39" s="5">
        <f t="shared" si="12"/>
        <v>0.5919159542123964</v>
      </c>
      <c r="AB39" s="4">
        <f t="shared" si="13"/>
        <v>0.55739062171808718</v>
      </c>
      <c r="AC39">
        <f t="shared" si="14"/>
        <v>0.34218949007205751</v>
      </c>
      <c r="AD39">
        <f t="shared" si="15"/>
        <v>0.26643241893971115</v>
      </c>
      <c r="AE39">
        <f t="shared" si="16"/>
        <v>0.1004155765947904</v>
      </c>
      <c r="AG39">
        <v>57</v>
      </c>
      <c r="AH39">
        <f t="shared" si="17"/>
        <v>8</v>
      </c>
      <c r="AI39" s="6">
        <f t="shared" si="18"/>
        <v>0.63162626093546104</v>
      </c>
      <c r="AJ39" s="6">
        <f t="shared" si="19"/>
        <v>0.26875618303478976</v>
      </c>
      <c r="AK39" s="6">
        <f t="shared" si="20"/>
        <v>0.27486092440442111</v>
      </c>
      <c r="AL39" s="6">
        <f t="shared" si="21"/>
        <v>0.27486092440442111</v>
      </c>
      <c r="AM39" s="6">
        <f t="shared" si="22"/>
        <v>5.2636832853066473E-2</v>
      </c>
      <c r="AN39" s="6">
        <f t="shared" si="23"/>
        <v>5.3832467675141951E-2</v>
      </c>
      <c r="AO39" s="6">
        <f t="shared" si="24"/>
        <v>5.3832467675141951E-2</v>
      </c>
      <c r="AP39" s="6">
        <f t="shared" si="25"/>
        <v>0.68426309378852745</v>
      </c>
      <c r="AQ39" s="6">
        <f t="shared" si="26"/>
        <v>0.68545872861060297</v>
      </c>
      <c r="AR39" s="6">
        <f t="shared" si="27"/>
        <v>0.68545872861060297</v>
      </c>
      <c r="AS39" s="4">
        <f t="shared" si="28"/>
        <v>6.4599320049232736</v>
      </c>
      <c r="AT39">
        <f t="shared" si="29"/>
        <v>10</v>
      </c>
      <c r="AU39">
        <f t="shared" si="30"/>
        <v>0.31519804543758079</v>
      </c>
      <c r="AV39">
        <f t="shared" si="31"/>
        <v>0.58447933309661326</v>
      </c>
      <c r="AW39">
        <f t="shared" si="32"/>
        <v>8.5338093884449613</v>
      </c>
      <c r="AX39" s="6">
        <f t="shared" si="33"/>
        <v>7.698198220403575</v>
      </c>
      <c r="AZ39">
        <v>57</v>
      </c>
      <c r="BA39">
        <f t="shared" si="34"/>
        <v>48</v>
      </c>
      <c r="BB39" s="8">
        <v>50000</v>
      </c>
      <c r="BC39" s="20">
        <f t="shared" si="35"/>
        <v>59584.204714047984</v>
      </c>
      <c r="BD39" s="20">
        <f t="shared" si="36"/>
        <v>2860041.8262743033</v>
      </c>
      <c r="BF39">
        <v>57</v>
      </c>
      <c r="BG39">
        <f t="shared" si="37"/>
        <v>8</v>
      </c>
      <c r="BH39">
        <f t="shared" si="38"/>
        <v>10</v>
      </c>
      <c r="BI39">
        <f t="shared" si="39"/>
        <v>0.42750951549212257</v>
      </c>
      <c r="BJ39">
        <f t="shared" si="40"/>
        <v>0.14139566856772001</v>
      </c>
      <c r="BK39">
        <f t="shared" si="41"/>
        <v>9.7479030893964994E-2</v>
      </c>
      <c r="BL39">
        <f t="shared" si="42"/>
        <v>4.3916637673755018E-2</v>
      </c>
      <c r="BM39">
        <f t="shared" si="43"/>
        <v>0.4714261531658776</v>
      </c>
      <c r="BN39">
        <f t="shared" si="76"/>
        <v>0.58447933309661326</v>
      </c>
      <c r="BO39">
        <f t="shared" si="77"/>
        <v>0.37801632137707142</v>
      </c>
      <c r="BP39">
        <f t="shared" si="78"/>
        <v>8.5338093884449613</v>
      </c>
      <c r="BQ39">
        <f t="shared" si="47"/>
        <v>12.187900814957043</v>
      </c>
      <c r="BR39">
        <f t="shared" si="48"/>
        <v>0.81286107677604713</v>
      </c>
      <c r="BS39">
        <f t="shared" si="49"/>
        <v>0.18713892322395287</v>
      </c>
      <c r="BT39">
        <f t="shared" si="50"/>
        <v>4.8691111787194874E-2</v>
      </c>
      <c r="BU39">
        <f t="shared" si="51"/>
        <v>4.8691111787194874E-2</v>
      </c>
      <c r="BV39">
        <f t="shared" si="52"/>
        <v>0.41552065486748313</v>
      </c>
      <c r="BW39">
        <f t="shared" si="53"/>
        <v>0.93319965765922763</v>
      </c>
      <c r="BX39">
        <f t="shared" si="54"/>
        <v>3.7958059279687077</v>
      </c>
      <c r="BY39">
        <f t="shared" si="55"/>
        <v>4.2421136201121135</v>
      </c>
      <c r="BZ39">
        <f t="shared" si="56"/>
        <v>8.0379195480808221</v>
      </c>
      <c r="CA39">
        <f t="shared" si="57"/>
        <v>0.66326487919247512</v>
      </c>
      <c r="CB39">
        <f t="shared" si="58"/>
        <v>0.49902618832022805</v>
      </c>
      <c r="CC39" s="6">
        <f t="shared" si="59"/>
        <v>1.3627454795427454</v>
      </c>
      <c r="CE39">
        <v>57</v>
      </c>
      <c r="CF39">
        <f t="shared" si="60"/>
        <v>48</v>
      </c>
      <c r="CG39" s="20">
        <f t="shared" si="61"/>
        <v>50000</v>
      </c>
      <c r="CH39" s="20">
        <f t="shared" si="62"/>
        <v>60477.967784758701</v>
      </c>
      <c r="CI39" s="20">
        <f t="shared" si="63"/>
        <v>2902942.4536684174</v>
      </c>
      <c r="CJ39" s="20">
        <f t="shared" si="64"/>
        <v>384909.91102017876</v>
      </c>
      <c r="CK39" s="20">
        <f t="shared" si="65"/>
        <v>390683.55968548142</v>
      </c>
      <c r="CL39" s="20">
        <f t="shared" si="66"/>
        <v>-5773.6486653026659</v>
      </c>
      <c r="CM39" s="20">
        <f t="shared" si="67"/>
        <v>-277135.13593452796</v>
      </c>
      <c r="CN39" s="20">
        <f t="shared" si="68"/>
        <v>14279138548.621969</v>
      </c>
      <c r="CO39">
        <f t="shared" si="69"/>
        <v>119495.3494853334</v>
      </c>
      <c r="CP39" s="20">
        <f t="shared" si="70"/>
        <v>685398650333.85449</v>
      </c>
      <c r="CQ39">
        <f t="shared" si="71"/>
        <v>827888.06630718778</v>
      </c>
    </row>
    <row r="40" spans="4:95" x14ac:dyDescent="0.25">
      <c r="D40">
        <v>58</v>
      </c>
      <c r="E40" s="6">
        <f t="shared" si="6"/>
        <v>6.7972874989018495E-3</v>
      </c>
      <c r="F40" s="6">
        <f t="shared" si="7"/>
        <v>5.8138850126987496E-3</v>
      </c>
      <c r="G40" s="5">
        <f t="shared" si="8"/>
        <v>7.0805296039418986E-3</v>
      </c>
      <c r="I40">
        <v>56</v>
      </c>
      <c r="J40" s="9">
        <f t="shared" si="73"/>
        <v>94003.32071859682</v>
      </c>
      <c r="K40" s="9">
        <f t="shared" si="74"/>
        <v>93548.368029582925</v>
      </c>
      <c r="L40" s="9">
        <f t="shared" si="72"/>
        <v>92997.245673492085</v>
      </c>
      <c r="M40">
        <v>58</v>
      </c>
      <c r="O40">
        <v>58</v>
      </c>
      <c r="P40">
        <f t="shared" si="0"/>
        <v>0.33414133444437982</v>
      </c>
      <c r="Q40">
        <f t="shared" si="1"/>
        <v>0.14473468699043043</v>
      </c>
      <c r="R40">
        <f t="shared" si="2"/>
        <v>0.33331409196218204</v>
      </c>
      <c r="S40" s="3">
        <f t="shared" si="3"/>
        <v>0.14372527814904618</v>
      </c>
      <c r="T40">
        <f t="shared" si="4"/>
        <v>0.34617855385355928</v>
      </c>
      <c r="U40">
        <f t="shared" si="5"/>
        <v>0.15353587406375555</v>
      </c>
      <c r="W40">
        <v>58</v>
      </c>
      <c r="X40" s="4">
        <f t="shared" si="75"/>
        <v>14.000404068794179</v>
      </c>
      <c r="Y40" s="4">
        <f t="shared" si="10"/>
        <v>13.730250369075256</v>
      </c>
      <c r="Z40" s="4">
        <f t="shared" si="11"/>
        <v>0.75277942119844921</v>
      </c>
      <c r="AA40" s="5">
        <f t="shared" si="12"/>
        <v>0.58982237408796634</v>
      </c>
      <c r="AB40" s="4">
        <f t="shared" si="13"/>
        <v>0.55215192144565028</v>
      </c>
      <c r="AC40">
        <f t="shared" si="14"/>
        <v>0.33897338254348086</v>
      </c>
      <c r="AD40">
        <f t="shared" si="15"/>
        <v>0.25746226357050894</v>
      </c>
      <c r="AE40">
        <f t="shared" si="16"/>
        <v>9.7034819376401307E-2</v>
      </c>
      <c r="AG40">
        <v>58</v>
      </c>
      <c r="AH40">
        <f t="shared" si="17"/>
        <v>7</v>
      </c>
      <c r="AI40" s="6">
        <f t="shared" si="18"/>
        <v>0.66742604019135487</v>
      </c>
      <c r="AJ40" s="6">
        <f t="shared" si="19"/>
        <v>0.28398894427567362</v>
      </c>
      <c r="AK40" s="6">
        <f t="shared" si="20"/>
        <v>0.2904396946809702</v>
      </c>
      <c r="AL40" s="6">
        <f t="shared" si="21"/>
        <v>0.2904396946809702</v>
      </c>
      <c r="AM40" s="6">
        <f t="shared" si="22"/>
        <v>4.9325147686508419E-2</v>
      </c>
      <c r="AN40" s="6">
        <f t="shared" si="23"/>
        <v>5.0445558261791909E-2</v>
      </c>
      <c r="AO40" s="6">
        <f t="shared" si="24"/>
        <v>5.0445558261791909E-2</v>
      </c>
      <c r="AP40" s="6">
        <f t="shared" si="25"/>
        <v>0.71675118787786329</v>
      </c>
      <c r="AQ40" s="6">
        <f t="shared" si="26"/>
        <v>0.71787159845314674</v>
      </c>
      <c r="AR40" s="6">
        <f t="shared" si="27"/>
        <v>0.71787159845314674</v>
      </c>
      <c r="AS40" s="4">
        <f t="shared" si="28"/>
        <v>5.7942485022707846</v>
      </c>
      <c r="AT40">
        <f t="shared" si="29"/>
        <v>10</v>
      </c>
      <c r="AU40">
        <f t="shared" si="30"/>
        <v>0.33306307282235514</v>
      </c>
      <c r="AV40">
        <f t="shared" si="31"/>
        <v>0.58447933309661326</v>
      </c>
      <c r="AW40">
        <f t="shared" si="32"/>
        <v>8.5338093884449613</v>
      </c>
      <c r="AX40" s="6">
        <f t="shared" si="33"/>
        <v>8.1345223791717665</v>
      </c>
      <c r="AZ40">
        <v>58</v>
      </c>
      <c r="BA40">
        <f t="shared" si="34"/>
        <v>48</v>
      </c>
      <c r="BB40" s="8">
        <v>50000</v>
      </c>
      <c r="BC40" s="20">
        <f t="shared" si="35"/>
        <v>70194.80072337095</v>
      </c>
      <c r="BD40" s="20">
        <f t="shared" si="36"/>
        <v>3369350.4347218056</v>
      </c>
      <c r="BF40">
        <v>58</v>
      </c>
      <c r="BG40">
        <f t="shared" si="37"/>
        <v>7</v>
      </c>
      <c r="BH40">
        <f t="shared" si="38"/>
        <v>10</v>
      </c>
      <c r="BI40">
        <f t="shared" si="39"/>
        <v>0.47432722600667199</v>
      </c>
      <c r="BJ40">
        <f t="shared" si="40"/>
        <v>0.15035842803640681</v>
      </c>
      <c r="BK40">
        <f t="shared" si="41"/>
        <v>0.10815422029736101</v>
      </c>
      <c r="BL40">
        <f t="shared" si="42"/>
        <v>4.2204207739045804E-2</v>
      </c>
      <c r="BM40">
        <f t="shared" si="43"/>
        <v>0.51653143374571775</v>
      </c>
      <c r="BN40">
        <f t="shared" si="76"/>
        <v>0.58447933309661326</v>
      </c>
      <c r="BO40">
        <f t="shared" si="77"/>
        <v>0.37801632137707142</v>
      </c>
      <c r="BP40">
        <f t="shared" si="78"/>
        <v>8.5338093884449613</v>
      </c>
      <c r="BQ40">
        <f t="shared" si="47"/>
        <v>12.187900814957043</v>
      </c>
      <c r="BR40">
        <f t="shared" si="48"/>
        <v>0.81286107677604713</v>
      </c>
      <c r="BS40">
        <f t="shared" si="49"/>
        <v>0.18713892322395287</v>
      </c>
      <c r="BT40">
        <f t="shared" si="50"/>
        <v>4.8691111787194874E-2</v>
      </c>
      <c r="BU40">
        <f t="shared" si="51"/>
        <v>4.8691111787194874E-2</v>
      </c>
      <c r="BV40">
        <f t="shared" si="52"/>
        <v>0.43629668761085727</v>
      </c>
      <c r="BW40">
        <f t="shared" si="53"/>
        <v>0.93913546324504293</v>
      </c>
      <c r="BX40">
        <f t="shared" si="54"/>
        <v>4.2114947879008211</v>
      </c>
      <c r="BY40">
        <f t="shared" si="55"/>
        <v>4.2884484802494161</v>
      </c>
      <c r="BZ40">
        <f t="shared" si="56"/>
        <v>8.4999432681502363</v>
      </c>
      <c r="CA40">
        <f t="shared" si="57"/>
        <v>0.5026951370139191</v>
      </c>
      <c r="CB40">
        <f t="shared" si="58"/>
        <v>0.49902618832022805</v>
      </c>
      <c r="CC40" s="6">
        <f t="shared" si="59"/>
        <v>1.2012335812237751</v>
      </c>
      <c r="CE40">
        <v>58</v>
      </c>
      <c r="CF40">
        <f t="shared" si="60"/>
        <v>48</v>
      </c>
      <c r="CG40" s="20">
        <f t="shared" si="61"/>
        <v>50000</v>
      </c>
      <c r="CH40" s="20">
        <f t="shared" si="62"/>
        <v>71247.722734221505</v>
      </c>
      <c r="CI40" s="20">
        <f t="shared" si="63"/>
        <v>3419890.6912426325</v>
      </c>
      <c r="CJ40" s="20">
        <f t="shared" si="64"/>
        <v>406726.11895858834</v>
      </c>
      <c r="CK40" s="20">
        <f t="shared" si="65"/>
        <v>412827.01074296708</v>
      </c>
      <c r="CL40" s="20">
        <f t="shared" si="66"/>
        <v>-6100.8917843787349</v>
      </c>
      <c r="CM40" s="20">
        <f t="shared" si="67"/>
        <v>-292842.80565017927</v>
      </c>
      <c r="CN40" s="20">
        <f t="shared" si="68"/>
        <v>15243142611.286375</v>
      </c>
      <c r="CO40">
        <f t="shared" si="69"/>
        <v>123463.12247503857</v>
      </c>
      <c r="CP40" s="20">
        <f t="shared" si="70"/>
        <v>731670845341.74597</v>
      </c>
      <c r="CQ40">
        <f t="shared" si="71"/>
        <v>855377.60395146301</v>
      </c>
    </row>
    <row r="41" spans="4:95" x14ac:dyDescent="0.25">
      <c r="D41">
        <v>59</v>
      </c>
      <c r="E41" s="6">
        <f t="shared" si="6"/>
        <v>7.4526340767635535E-3</v>
      </c>
      <c r="F41" s="6">
        <f t="shared" si="7"/>
        <v>6.3747385479726582E-3</v>
      </c>
      <c r="G41" s="5">
        <f t="shared" si="8"/>
        <v>7.7651009924808445E-3</v>
      </c>
      <c r="I41">
        <v>57</v>
      </c>
      <c r="J41" s="9">
        <f t="shared" si="73"/>
        <v>93461.161415529044</v>
      </c>
      <c r="K41" s="9">
        <f t="shared" si="74"/>
        <v>92965.46739251446</v>
      </c>
      <c r="L41" s="9">
        <f t="shared" si="72"/>
        <v>92365.116658043349</v>
      </c>
      <c r="M41">
        <v>59</v>
      </c>
      <c r="O41">
        <v>59</v>
      </c>
      <c r="P41">
        <f t="shared" si="0"/>
        <v>0.34640573302634486</v>
      </c>
      <c r="Q41">
        <f t="shared" si="1"/>
        <v>0.15381825178802941</v>
      </c>
      <c r="R41">
        <f t="shared" si="2"/>
        <v>0.34551668980962869</v>
      </c>
      <c r="S41" s="3">
        <f t="shared" si="3"/>
        <v>0.15272461897516224</v>
      </c>
      <c r="T41">
        <f t="shared" si="4"/>
        <v>0.3587044327267695</v>
      </c>
      <c r="U41">
        <f t="shared" si="5"/>
        <v>0.16304351364356423</v>
      </c>
      <c r="W41">
        <v>59</v>
      </c>
      <c r="X41" s="4">
        <f t="shared" si="75"/>
        <v>13.744149513997799</v>
      </c>
      <c r="Y41" s="4">
        <f t="shared" si="10"/>
        <v>13.467206912737842</v>
      </c>
      <c r="Z41" s="4">
        <f t="shared" si="11"/>
        <v>0.74985113802667847</v>
      </c>
      <c r="AA41" s="5">
        <f t="shared" si="12"/>
        <v>0.58752798760005465</v>
      </c>
      <c r="AB41" s="4">
        <f t="shared" si="13"/>
        <v>0.54644620148521961</v>
      </c>
      <c r="AC41">
        <f t="shared" si="14"/>
        <v>0.33547056543878057</v>
      </c>
      <c r="AD41">
        <f t="shared" si="15"/>
        <v>0.24794351295605338</v>
      </c>
      <c r="AE41">
        <f t="shared" si="16"/>
        <v>9.3447302379722069E-2</v>
      </c>
      <c r="AG41">
        <v>59</v>
      </c>
      <c r="AH41">
        <f t="shared" si="17"/>
        <v>6</v>
      </c>
      <c r="AI41" s="6">
        <f t="shared" si="18"/>
        <v>0.70568669328856004</v>
      </c>
      <c r="AJ41" s="6">
        <f t="shared" si="19"/>
        <v>0.30026880425425317</v>
      </c>
      <c r="AK41" s="6">
        <f t="shared" si="20"/>
        <v>0.30708934832747875</v>
      </c>
      <c r="AL41" s="6">
        <f t="shared" si="21"/>
        <v>0.30708934832747875</v>
      </c>
      <c r="AM41" s="6">
        <f t="shared" si="22"/>
        <v>4.5247885555375511E-2</v>
      </c>
      <c r="AN41" s="6">
        <f t="shared" si="23"/>
        <v>4.6275681960723646E-2</v>
      </c>
      <c r="AO41" s="6">
        <f t="shared" si="24"/>
        <v>4.6275681960723646E-2</v>
      </c>
      <c r="AP41" s="6">
        <f t="shared" si="25"/>
        <v>0.75093457884393555</v>
      </c>
      <c r="AQ41" s="6">
        <f t="shared" si="26"/>
        <v>0.75196237524928367</v>
      </c>
      <c r="AR41" s="6">
        <f t="shared" si="27"/>
        <v>0.75196237524928367</v>
      </c>
      <c r="AS41" s="4">
        <f t="shared" si="28"/>
        <v>5.0941047687464591</v>
      </c>
      <c r="AT41">
        <f t="shared" si="29"/>
        <v>10</v>
      </c>
      <c r="AU41">
        <f t="shared" si="30"/>
        <v>0.35215614070009599</v>
      </c>
      <c r="AV41">
        <f t="shared" si="31"/>
        <v>0.58447933309661326</v>
      </c>
      <c r="AW41">
        <f t="shared" si="32"/>
        <v>8.5338093884449613</v>
      </c>
      <c r="AX41" s="6">
        <f t="shared" si="33"/>
        <v>8.600839424235982</v>
      </c>
      <c r="AZ41">
        <v>59</v>
      </c>
      <c r="BA41">
        <f t="shared" si="34"/>
        <v>48</v>
      </c>
      <c r="BB41" s="8">
        <v>50000</v>
      </c>
      <c r="BC41" s="20">
        <f t="shared" si="35"/>
        <v>84419.538021716522</v>
      </c>
      <c r="BD41" s="20">
        <f t="shared" si="36"/>
        <v>4052137.8250423931</v>
      </c>
      <c r="BF41">
        <v>59</v>
      </c>
      <c r="BG41">
        <f t="shared" si="37"/>
        <v>6</v>
      </c>
      <c r="BH41">
        <f t="shared" si="38"/>
        <v>10</v>
      </c>
      <c r="BI41">
        <f t="shared" si="39"/>
        <v>0.52659427573351303</v>
      </c>
      <c r="BJ41">
        <f t="shared" si="40"/>
        <v>0.15977310273667386</v>
      </c>
      <c r="BK41">
        <f t="shared" si="41"/>
        <v>0.1200719465009384</v>
      </c>
      <c r="BL41">
        <f t="shared" si="42"/>
        <v>3.970115623573546E-2</v>
      </c>
      <c r="BM41">
        <f t="shared" si="43"/>
        <v>0.56629543196924848</v>
      </c>
      <c r="BN41">
        <f t="shared" si="76"/>
        <v>0.58447933309661326</v>
      </c>
      <c r="BO41">
        <f t="shared" si="77"/>
        <v>0.37801632137707142</v>
      </c>
      <c r="BP41">
        <f t="shared" si="78"/>
        <v>8.5338093884449613</v>
      </c>
      <c r="BQ41">
        <f t="shared" si="47"/>
        <v>12.187900814957043</v>
      </c>
      <c r="BR41">
        <f t="shared" si="48"/>
        <v>0.81286107677604713</v>
      </c>
      <c r="BS41">
        <f t="shared" si="49"/>
        <v>0.18713892322395287</v>
      </c>
      <c r="BT41">
        <f t="shared" si="50"/>
        <v>4.8691111787194874E-2</v>
      </c>
      <c r="BU41">
        <f t="shared" si="51"/>
        <v>4.8691111787194874E-2</v>
      </c>
      <c r="BV41">
        <f t="shared" si="52"/>
        <v>0.45811152199140021</v>
      </c>
      <c r="BW41">
        <f t="shared" si="53"/>
        <v>0.94568766132307081</v>
      </c>
      <c r="BX41">
        <f t="shared" si="54"/>
        <v>4.6755676798508352</v>
      </c>
      <c r="BY41">
        <f t="shared" si="55"/>
        <v>4.2484690643011849</v>
      </c>
      <c r="BZ41">
        <f t="shared" si="56"/>
        <v>8.9240367441520192</v>
      </c>
      <c r="CA41">
        <f t="shared" si="57"/>
        <v>0.3576891609861696</v>
      </c>
      <c r="CB41">
        <f t="shared" si="58"/>
        <v>0.49902618832022805</v>
      </c>
      <c r="CC41" s="6">
        <f t="shared" si="59"/>
        <v>1.0151511930555799</v>
      </c>
      <c r="CE41">
        <v>59</v>
      </c>
      <c r="CF41">
        <f t="shared" si="60"/>
        <v>48</v>
      </c>
      <c r="CG41" s="20">
        <f t="shared" si="61"/>
        <v>50000</v>
      </c>
      <c r="CH41" s="20">
        <f t="shared" si="62"/>
        <v>85685.831092042266</v>
      </c>
      <c r="CI41" s="20">
        <f t="shared" si="63"/>
        <v>4112919.8924180288</v>
      </c>
      <c r="CJ41" s="20">
        <f t="shared" si="64"/>
        <v>430041.97121179913</v>
      </c>
      <c r="CK41" s="20">
        <f t="shared" si="65"/>
        <v>436492.60077997611</v>
      </c>
      <c r="CL41" s="20">
        <f t="shared" si="66"/>
        <v>-6450.6295681769843</v>
      </c>
      <c r="CM41" s="20">
        <f t="shared" si="67"/>
        <v>-309630.21927249525</v>
      </c>
      <c r="CN41" s="20">
        <f t="shared" si="68"/>
        <v>16237860365.749107</v>
      </c>
      <c r="CO41">
        <f t="shared" si="69"/>
        <v>127427.86338061668</v>
      </c>
      <c r="CP41" s="20">
        <f t="shared" si="70"/>
        <v>779417297555.95715</v>
      </c>
      <c r="CQ41">
        <f t="shared" si="71"/>
        <v>882846.1347006947</v>
      </c>
    </row>
    <row r="42" spans="4:95" x14ac:dyDescent="0.25">
      <c r="D42">
        <v>60</v>
      </c>
      <c r="E42" s="6">
        <f t="shared" si="6"/>
        <v>8.1730158801350816E-3</v>
      </c>
      <c r="F42" s="6">
        <f t="shared" si="7"/>
        <v>6.9913120060599576E-3</v>
      </c>
      <c r="G42" s="5">
        <f t="shared" si="8"/>
        <v>8.5175843956731834E-3</v>
      </c>
      <c r="I42">
        <v>58</v>
      </c>
      <c r="J42" s="9">
        <f t="shared" si="73"/>
        <v>92870.440155711884</v>
      </c>
      <c r="K42" s="9">
        <f t="shared" si="74"/>
        <v>92330.502095567863</v>
      </c>
      <c r="L42" s="9">
        <f t="shared" si="72"/>
        <v>91676.753242133374</v>
      </c>
      <c r="M42">
        <v>60</v>
      </c>
      <c r="O42">
        <v>60</v>
      </c>
      <c r="P42">
        <f t="shared" si="0"/>
        <v>0.35894849740445811</v>
      </c>
      <c r="Q42">
        <f t="shared" si="1"/>
        <v>0.16334937161283861</v>
      </c>
      <c r="R42">
        <f t="shared" si="2"/>
        <v>0.35799364984137372</v>
      </c>
      <c r="S42" s="3">
        <f t="shared" si="3"/>
        <v>0.16216509262540044</v>
      </c>
      <c r="T42">
        <f t="shared" si="4"/>
        <v>0.37149928775812863</v>
      </c>
      <c r="U42">
        <f t="shared" si="5"/>
        <v>0.17300523619838903</v>
      </c>
      <c r="W42">
        <v>60</v>
      </c>
      <c r="X42" s="4">
        <f t="shared" si="75"/>
        <v>13.482133353331152</v>
      </c>
      <c r="Y42" s="4">
        <f t="shared" si="10"/>
        <v>13.198514957079299</v>
      </c>
      <c r="Z42" s="4">
        <f t="shared" si="11"/>
        <v>0.74664318133087815</v>
      </c>
      <c r="AA42" s="5">
        <f t="shared" si="12"/>
        <v>0.58501446958799741</v>
      </c>
      <c r="AB42" s="4">
        <f t="shared" si="13"/>
        <v>0.54023798557614355</v>
      </c>
      <c r="AC42">
        <f t="shared" si="14"/>
        <v>0.3316592594113561</v>
      </c>
      <c r="AD42">
        <f t="shared" si="15"/>
        <v>0.23787885194147096</v>
      </c>
      <c r="AE42">
        <f t="shared" si="16"/>
        <v>8.9654037494644054E-2</v>
      </c>
      <c r="AG42">
        <v>60</v>
      </c>
      <c r="AH42">
        <f t="shared" si="17"/>
        <v>5</v>
      </c>
      <c r="AI42" s="6">
        <f t="shared" si="18"/>
        <v>0.74664318133087815</v>
      </c>
      <c r="AJ42" s="6">
        <f t="shared" si="19"/>
        <v>0.31769573862595141</v>
      </c>
      <c r="AK42" s="6">
        <f t="shared" si="20"/>
        <v>0.3249121319258011</v>
      </c>
      <c r="AL42" s="6">
        <f t="shared" si="21"/>
        <v>0.3249121319258011</v>
      </c>
      <c r="AM42" s="6">
        <f t="shared" si="22"/>
        <v>4.0297911215422311E-2</v>
      </c>
      <c r="AN42" s="6">
        <f t="shared" si="23"/>
        <v>4.121326997267432E-2</v>
      </c>
      <c r="AO42" s="6">
        <f t="shared" si="24"/>
        <v>4.121326997267432E-2</v>
      </c>
      <c r="AP42" s="6">
        <f t="shared" si="25"/>
        <v>0.78694109254630051</v>
      </c>
      <c r="AQ42" s="6">
        <f t="shared" si="26"/>
        <v>0.78785645130355242</v>
      </c>
      <c r="AR42" s="6">
        <f t="shared" si="27"/>
        <v>0.78785645130355242</v>
      </c>
      <c r="AS42" s="4">
        <f t="shared" si="28"/>
        <v>4.3569255436931424</v>
      </c>
      <c r="AT42">
        <f t="shared" si="29"/>
        <v>10</v>
      </c>
      <c r="AU42">
        <f t="shared" si="30"/>
        <v>0.37259450081483697</v>
      </c>
      <c r="AV42">
        <f t="shared" si="31"/>
        <v>0.58447933309661326</v>
      </c>
      <c r="AW42">
        <f t="shared" si="32"/>
        <v>8.5338093884449613</v>
      </c>
      <c r="AX42" s="6">
        <f t="shared" si="33"/>
        <v>9.1000130382247288</v>
      </c>
      <c r="AZ42">
        <v>60</v>
      </c>
      <c r="BA42">
        <f>B22-SUM(BA2:BA41)</f>
        <v>80</v>
      </c>
      <c r="BB42" s="8">
        <v>50000</v>
      </c>
      <c r="BC42" s="20">
        <f>BB42*AX42/AS42</f>
        <v>104431.587675367</v>
      </c>
      <c r="BD42" s="20">
        <f t="shared" si="36"/>
        <v>8354527.0140293604</v>
      </c>
      <c r="BF42">
        <v>60</v>
      </c>
      <c r="BG42">
        <f t="shared" si="37"/>
        <v>5</v>
      </c>
      <c r="BH42">
        <f t="shared" si="38"/>
        <v>10</v>
      </c>
      <c r="BI42">
        <f t="shared" si="39"/>
        <v>0.58501446958799741</v>
      </c>
      <c r="BJ42">
        <f t="shared" si="40"/>
        <v>0.16964926924161483</v>
      </c>
      <c r="BK42">
        <f t="shared" si="41"/>
        <v>0.13339268832119303</v>
      </c>
      <c r="BL42">
        <f t="shared" si="42"/>
        <v>3.6256580920421805E-2</v>
      </c>
      <c r="BM42">
        <f t="shared" si="43"/>
        <v>0.62127105050841924</v>
      </c>
      <c r="BN42">
        <f t="shared" si="76"/>
        <v>0.58447933309661326</v>
      </c>
      <c r="BO42">
        <f t="shared" si="77"/>
        <v>0.37801632137707142</v>
      </c>
      <c r="BP42">
        <f t="shared" si="78"/>
        <v>8.5338093884449613</v>
      </c>
      <c r="BQ42">
        <f t="shared" si="47"/>
        <v>12.187900814957043</v>
      </c>
      <c r="BR42">
        <f t="shared" si="48"/>
        <v>0.81286107677604713</v>
      </c>
      <c r="BS42">
        <f t="shared" si="49"/>
        <v>0.18713892322395287</v>
      </c>
      <c r="BT42">
        <f t="shared" si="50"/>
        <v>4.8691111787194874E-2</v>
      </c>
      <c r="BU42">
        <f t="shared" si="51"/>
        <v>4.8691111787194874E-2</v>
      </c>
      <c r="BV42">
        <f t="shared" si="52"/>
        <v>0.48101709809097021</v>
      </c>
      <c r="BW42">
        <f t="shared" si="53"/>
        <v>0.95292692609894414</v>
      </c>
      <c r="BX42">
        <f t="shared" si="54"/>
        <v>5.1942736036024186</v>
      </c>
      <c r="BY42">
        <f t="shared" si="55"/>
        <v>4.0906939590321167</v>
      </c>
      <c r="BZ42">
        <f t="shared" si="56"/>
        <v>9.2849675626345345</v>
      </c>
      <c r="CA42">
        <f t="shared" si="57"/>
        <v>0.23336298355810217</v>
      </c>
      <c r="CB42">
        <f t="shared" si="58"/>
        <v>0.49902618832022805</v>
      </c>
      <c r="CC42" s="6">
        <f t="shared" si="59"/>
        <v>0.80929859705813101</v>
      </c>
      <c r="CE42">
        <v>60</v>
      </c>
      <c r="CF42">
        <f t="shared" si="60"/>
        <v>80</v>
      </c>
      <c r="CG42" s="20">
        <f t="shared" si="61"/>
        <v>50000</v>
      </c>
      <c r="CH42" s="20">
        <f t="shared" si="62"/>
        <v>105998.06149049749</v>
      </c>
      <c r="CI42" s="20">
        <f t="shared" si="63"/>
        <v>8479844.9192398004</v>
      </c>
      <c r="CJ42" s="20">
        <f t="shared" si="64"/>
        <v>455000.65191123646</v>
      </c>
      <c r="CK42" s="20">
        <f t="shared" si="65"/>
        <v>461825.66168990493</v>
      </c>
      <c r="CL42" s="20">
        <f t="shared" si="66"/>
        <v>-6825.0097786684637</v>
      </c>
      <c r="CM42" s="20">
        <f t="shared" si="67"/>
        <v>-546000.7822934771</v>
      </c>
      <c r="CN42" s="20">
        <f t="shared" si="68"/>
        <v>17255981241.419434</v>
      </c>
      <c r="CO42">
        <f t="shared" si="69"/>
        <v>131362.02358908541</v>
      </c>
      <c r="CP42" s="20">
        <f t="shared" si="70"/>
        <v>1380478499313.5547</v>
      </c>
      <c r="CQ42">
        <f t="shared" si="71"/>
        <v>1174937.6576285036</v>
      </c>
    </row>
    <row r="43" spans="4:95" x14ac:dyDescent="0.25">
      <c r="D43">
        <v>61</v>
      </c>
      <c r="E43" s="6">
        <f t="shared" si="6"/>
        <v>8.9648319907180696E-3</v>
      </c>
      <c r="F43" s="6">
        <f t="shared" si="7"/>
        <v>7.6691009140004152E-3</v>
      </c>
      <c r="G43" s="5">
        <f t="shared" si="8"/>
        <v>9.3446570406340301E-3</v>
      </c>
      <c r="I43">
        <v>59</v>
      </c>
      <c r="J43" s="9">
        <f t="shared" si="73"/>
        <v>92226.987201443117</v>
      </c>
      <c r="K43" s="9">
        <f t="shared" si="74"/>
        <v>91639.064270966701</v>
      </c>
      <c r="L43" s="9">
        <f t="shared" si="72"/>
        <v>90927.477682046199</v>
      </c>
      <c r="M43">
        <v>61</v>
      </c>
      <c r="O43">
        <v>61</v>
      </c>
      <c r="P43">
        <f t="shared" si="0"/>
        <v>0.37176131754647324</v>
      </c>
      <c r="Q43">
        <f t="shared" si="1"/>
        <v>0.17333634703998188</v>
      </c>
      <c r="R43">
        <f t="shared" si="2"/>
        <v>0.37073651103418553</v>
      </c>
      <c r="S43" s="3">
        <f t="shared" si="3"/>
        <v>0.17205464274566545</v>
      </c>
      <c r="T43">
        <f t="shared" si="4"/>
        <v>0.38455341461540327</v>
      </c>
      <c r="U43">
        <f t="shared" si="5"/>
        <v>0.1834278695551543</v>
      </c>
      <c r="W43">
        <v>61</v>
      </c>
      <c r="X43" s="4">
        <f t="shared" si="75"/>
        <v>13.214533268282104</v>
      </c>
      <c r="Y43" s="4">
        <f t="shared" si="10"/>
        <v>12.924378293076533</v>
      </c>
      <c r="Z43" s="4">
        <f t="shared" si="11"/>
        <v>0.74313027796775266</v>
      </c>
      <c r="AA43" s="5">
        <f t="shared" si="12"/>
        <v>0.5822620178827137</v>
      </c>
      <c r="AB43" s="4">
        <f t="shared" si="13"/>
        <v>0.5334903816088894</v>
      </c>
      <c r="AC43">
        <f t="shared" si="14"/>
        <v>0.32751681590621451</v>
      </c>
      <c r="AD43">
        <f t="shared" si="15"/>
        <v>0.22727895603280118</v>
      </c>
      <c r="AE43">
        <f t="shared" si="16"/>
        <v>8.5659048207117894E-2</v>
      </c>
      <c r="AG43">
        <v>61</v>
      </c>
      <c r="AH43">
        <f t="shared" si="17"/>
        <v>4</v>
      </c>
      <c r="AJ43" s="6"/>
      <c r="AK43" s="6"/>
      <c r="AL43" s="6"/>
      <c r="AZ43">
        <v>61</v>
      </c>
      <c r="CE43">
        <v>61</v>
      </c>
    </row>
    <row r="44" spans="4:95" x14ac:dyDescent="0.25">
      <c r="D44">
        <v>62</v>
      </c>
      <c r="E44" s="6">
        <f t="shared" si="6"/>
        <v>9.8350996109736188E-3</v>
      </c>
      <c r="F44" s="6">
        <f t="shared" si="7"/>
        <v>8.4141343846919625E-3</v>
      </c>
      <c r="G44" s="5">
        <f t="shared" si="8"/>
        <v>1.0253640108115247E-2</v>
      </c>
      <c r="I44">
        <v>60</v>
      </c>
      <c r="J44" s="9">
        <f t="shared" si="73"/>
        <v>91526.35049830623</v>
      </c>
      <c r="K44" s="9">
        <f t="shared" si="74"/>
        <v>90886.461225196574</v>
      </c>
      <c r="L44" s="9">
        <f t="shared" si="72"/>
        <v>90112.32812128689</v>
      </c>
      <c r="M44">
        <v>62</v>
      </c>
      <c r="O44">
        <v>62</v>
      </c>
      <c r="P44">
        <f t="shared" si="0"/>
        <v>0.38483452832372833</v>
      </c>
      <c r="Q44">
        <f t="shared" si="1"/>
        <v>0.18378610214885543</v>
      </c>
      <c r="R44">
        <f t="shared" si="2"/>
        <v>0.38373546604444403</v>
      </c>
      <c r="S44" s="3">
        <f t="shared" si="3"/>
        <v>0.18239983658602982</v>
      </c>
      <c r="T44">
        <f t="shared" si="4"/>
        <v>0.39785571642569795</v>
      </c>
      <c r="U44">
        <f t="shared" si="5"/>
        <v>0.1943166922128739</v>
      </c>
      <c r="W44">
        <v>62</v>
      </c>
      <c r="X44" s="4">
        <f t="shared" si="75"/>
        <v>12.941555213066675</v>
      </c>
      <c r="Y44" s="4">
        <f t="shared" si="10"/>
        <v>12.645029955060345</v>
      </c>
      <c r="Z44" s="4">
        <f t="shared" si="11"/>
        <v>0.73928517106723912</v>
      </c>
      <c r="AA44" s="5">
        <f t="shared" si="12"/>
        <v>0.57924927601329279</v>
      </c>
      <c r="AB44" s="4">
        <f t="shared" si="13"/>
        <v>0.52616531765622787</v>
      </c>
      <c r="AC44">
        <f t="shared" si="14"/>
        <v>0.32301986206264199</v>
      </c>
      <c r="AD44">
        <f t="shared" si="15"/>
        <v>0.21616379541044581</v>
      </c>
      <c r="AE44">
        <f t="shared" si="16"/>
        <v>8.1469861068108024E-2</v>
      </c>
      <c r="AG44">
        <v>62</v>
      </c>
      <c r="AH44">
        <f t="shared" si="17"/>
        <v>3</v>
      </c>
      <c r="AJ44" s="6"/>
      <c r="AK44" s="6"/>
      <c r="AL44" s="6"/>
      <c r="AZ44">
        <v>62</v>
      </c>
      <c r="CE44">
        <v>62</v>
      </c>
    </row>
    <row r="45" spans="4:95" x14ac:dyDescent="0.25">
      <c r="D45">
        <v>63</v>
      </c>
      <c r="E45" s="6">
        <f t="shared" si="6"/>
        <v>1.0791511348685612E-2</v>
      </c>
      <c r="F45" s="6">
        <f t="shared" si="7"/>
        <v>9.2330251523992102E-3</v>
      </c>
      <c r="G45" s="5">
        <f t="shared" si="8"/>
        <v>1.1252558190909978E-2</v>
      </c>
      <c r="I45">
        <v>61</v>
      </c>
      <c r="J45" s="9">
        <f t="shared" si="73"/>
        <v>90763.793005352549</v>
      </c>
      <c r="K45" s="9">
        <f t="shared" si="74"/>
        <v>90067.71631745706</v>
      </c>
      <c r="L45" s="9">
        <f t="shared" si="72"/>
        <v>89226.064398037299</v>
      </c>
      <c r="M45">
        <v>63</v>
      </c>
      <c r="O45">
        <v>63</v>
      </c>
      <c r="P45">
        <f t="shared" si="0"/>
        <v>0.39815706956896529</v>
      </c>
      <c r="Q45">
        <f t="shared" si="1"/>
        <v>0.19470401135446683</v>
      </c>
      <c r="R45">
        <f t="shared" si="2"/>
        <v>0.39697932365998861</v>
      </c>
      <c r="S45" s="3">
        <f t="shared" si="3"/>
        <v>0.19320569538495588</v>
      </c>
      <c r="T45">
        <f t="shared" si="4"/>
        <v>0.41139367281926709</v>
      </c>
      <c r="U45">
        <f t="shared" si="5"/>
        <v>0.20567525884768151</v>
      </c>
      <c r="W45">
        <v>63</v>
      </c>
      <c r="X45" s="4">
        <f t="shared" si="75"/>
        <v>12.663434203140241</v>
      </c>
      <c r="Y45" s="4">
        <f t="shared" si="10"/>
        <v>12.360732870795392</v>
      </c>
      <c r="Z45" s="4">
        <f t="shared" si="11"/>
        <v>0.73507852865370782</v>
      </c>
      <c r="AA45" s="5">
        <f t="shared" si="12"/>
        <v>0.57595326160931504</v>
      </c>
      <c r="AB45" s="4">
        <f t="shared" si="13"/>
        <v>0.51822385976129892</v>
      </c>
      <c r="AC45">
        <f t="shared" si="14"/>
        <v>0.31814449580850918</v>
      </c>
      <c r="AD45">
        <f t="shared" si="15"/>
        <v>0.20456393135363454</v>
      </c>
      <c r="AE45">
        <f t="shared" si="16"/>
        <v>7.7097994302339323E-2</v>
      </c>
      <c r="AG45">
        <v>63</v>
      </c>
      <c r="AH45">
        <f t="shared" si="17"/>
        <v>2</v>
      </c>
      <c r="AJ45" s="6"/>
      <c r="AK45" s="6"/>
      <c r="AL45" s="6"/>
      <c r="AZ45">
        <v>63</v>
      </c>
      <c r="CE45">
        <v>63</v>
      </c>
    </row>
    <row r="46" spans="4:95" x14ac:dyDescent="0.25">
      <c r="D46">
        <v>64</v>
      </c>
      <c r="E46" s="6">
        <f t="shared" si="6"/>
        <v>1.1842497294942356E-2</v>
      </c>
      <c r="F46" s="6">
        <f t="shared" si="7"/>
        <v>1.0133023923835305E-2</v>
      </c>
      <c r="G46" s="5">
        <f t="shared" si="8"/>
        <v>1.2350203679276195E-2</v>
      </c>
      <c r="I46">
        <v>62</v>
      </c>
      <c r="J46" s="9">
        <f t="shared" si="73"/>
        <v>89934.294310107623</v>
      </c>
      <c r="K46" s="9">
        <f t="shared" si="74"/>
        <v>89177.575071989952</v>
      </c>
      <c r="L46" s="9">
        <f t="shared" si="72"/>
        <v>88263.180311487333</v>
      </c>
      <c r="M46">
        <v>64</v>
      </c>
      <c r="O46">
        <v>64</v>
      </c>
      <c r="P46">
        <f t="shared" si="0"/>
        <v>0.41171645448979521</v>
      </c>
      <c r="Q46">
        <f t="shared" si="1"/>
        <v>0.20609372393030079</v>
      </c>
      <c r="R46">
        <f t="shared" si="2"/>
        <v>0.4104554798118677</v>
      </c>
      <c r="S46" s="3">
        <f t="shared" si="3"/>
        <v>0.204475522969156</v>
      </c>
      <c r="T46">
        <f t="shared" si="4"/>
        <v>0.42515331862757705</v>
      </c>
      <c r="U46">
        <f t="shared" si="5"/>
        <v>0.21750522580631373</v>
      </c>
      <c r="W46">
        <v>64</v>
      </c>
      <c r="X46" s="4">
        <f t="shared" si="75"/>
        <v>12.380434923950778</v>
      </c>
      <c r="Y46" s="4">
        <f t="shared" si="10"/>
        <v>12.071780308820882</v>
      </c>
      <c r="Z46" s="4">
        <f t="shared" si="11"/>
        <v>0.73047886331349055</v>
      </c>
      <c r="AA46" s="5">
        <f t="shared" si="12"/>
        <v>0.57234930345825685</v>
      </c>
      <c r="AB46" s="4">
        <f t="shared" si="13"/>
        <v>0.50962662575957618</v>
      </c>
      <c r="AC46">
        <f t="shared" si="14"/>
        <v>0.31286653991106034</v>
      </c>
      <c r="AD46">
        <f t="shared" si="15"/>
        <v>0.19252173916286616</v>
      </c>
      <c r="AE46">
        <f t="shared" si="16"/>
        <v>7.2559418714903345E-2</v>
      </c>
      <c r="AG46">
        <v>64</v>
      </c>
      <c r="AH46">
        <f t="shared" si="17"/>
        <v>1</v>
      </c>
      <c r="AJ46" s="6"/>
      <c r="AK46" s="6"/>
      <c r="AL46" s="6"/>
      <c r="AZ46">
        <v>64</v>
      </c>
      <c r="CE46">
        <v>64</v>
      </c>
    </row>
    <row r="47" spans="4:95" x14ac:dyDescent="0.25">
      <c r="D47">
        <v>65</v>
      </c>
      <c r="E47" s="6">
        <f t="shared" si="6"/>
        <v>1.2997292183686393E-2</v>
      </c>
      <c r="F47" s="6">
        <f t="shared" si="7"/>
        <v>1.1122078335136454E-2</v>
      </c>
      <c r="G47" s="5">
        <f t="shared" si="8"/>
        <v>1.3556206358014466E-2</v>
      </c>
      <c r="I47">
        <v>63</v>
      </c>
      <c r="J47" s="9">
        <f t="shared" si="73"/>
        <v>89032.557666568566</v>
      </c>
      <c r="K47" s="9">
        <f t="shared" si="74"/>
        <v>88210.517822250709</v>
      </c>
      <c r="L47" s="9">
        <f t="shared" si="72"/>
        <v>87217.923837405528</v>
      </c>
      <c r="M47">
        <v>65</v>
      </c>
      <c r="O47">
        <v>65</v>
      </c>
      <c r="P47">
        <f t="shared" si="0"/>
        <v>0.42549874768783719</v>
      </c>
      <c r="Q47">
        <f t="shared" si="1"/>
        <v>0.2179569883835604</v>
      </c>
      <c r="R47">
        <f t="shared" si="2"/>
        <v>0.42414989838824141</v>
      </c>
      <c r="S47" s="3">
        <f t="shared" si="3"/>
        <v>0.21621073475281899</v>
      </c>
      <c r="T47">
        <f t="shared" si="4"/>
        <v>0.43911923348581128</v>
      </c>
      <c r="U47">
        <f t="shared" si="5"/>
        <v>0.22980617905519674</v>
      </c>
      <c r="W47">
        <v>65</v>
      </c>
      <c r="X47" s="4">
        <f t="shared" si="75"/>
        <v>12.092852133846931</v>
      </c>
      <c r="Y47" s="4">
        <f t="shared" si="10"/>
        <v>11.778496096797964</v>
      </c>
      <c r="Z47" s="4">
        <f t="shared" si="11"/>
        <v>0.72545246753443593</v>
      </c>
      <c r="AA47" s="5">
        <f t="shared" si="12"/>
        <v>0.56841099084234081</v>
      </c>
      <c r="AB47" s="4">
        <f t="shared" si="13"/>
        <v>0.50033431047544819</v>
      </c>
      <c r="AC47">
        <f t="shared" si="14"/>
        <v>0.3071618644020549</v>
      </c>
      <c r="AD47">
        <f t="shared" si="15"/>
        <v>0.18009247331714648</v>
      </c>
      <c r="AE47">
        <f t="shared" si="16"/>
        <v>6.7874959137819005E-2</v>
      </c>
      <c r="AG47">
        <v>65</v>
      </c>
      <c r="AH47">
        <f t="shared" si="17"/>
        <v>0</v>
      </c>
      <c r="AJ47" s="6"/>
      <c r="AK47" s="6"/>
      <c r="AL47" s="6"/>
      <c r="AZ47">
        <v>65</v>
      </c>
      <c r="CE47">
        <v>65</v>
      </c>
    </row>
    <row r="48" spans="4:95" x14ac:dyDescent="0.25">
      <c r="D48">
        <v>66</v>
      </c>
      <c r="E48" s="6">
        <f t="shared" si="6"/>
        <v>1.4266007911335699E-2</v>
      </c>
      <c r="F48" s="6">
        <f t="shared" si="7"/>
        <v>1.22088968054892E-2</v>
      </c>
      <c r="G48" s="5">
        <f t="shared" si="8"/>
        <v>1.4881108486528793E-2</v>
      </c>
      <c r="I48">
        <v>64</v>
      </c>
      <c r="J48" s="9">
        <f t="shared" si="73"/>
        <v>88053.0237848541</v>
      </c>
      <c r="K48" s="9">
        <f t="shared" si="74"/>
        <v>87160.780388276136</v>
      </c>
      <c r="L48" s="9">
        <f t="shared" si="72"/>
        <v>86084.326997636264</v>
      </c>
      <c r="M48">
        <v>66</v>
      </c>
      <c r="O48">
        <v>66</v>
      </c>
      <c r="P48">
        <f t="shared" si="0"/>
        <v>0.43948855403674408</v>
      </c>
      <c r="Q48">
        <f t="shared" si="1"/>
        <v>0.23029347914564258</v>
      </c>
      <c r="R48">
        <f t="shared" si="2"/>
        <v>0.43804710309107564</v>
      </c>
      <c r="S48" s="3">
        <f t="shared" si="3"/>
        <v>0.22841068961487854</v>
      </c>
      <c r="T48">
        <f t="shared" si="4"/>
        <v>0.45327454356710634</v>
      </c>
      <c r="U48">
        <f t="shared" si="5"/>
        <v>0.24257546734325139</v>
      </c>
      <c r="W48">
        <v>66</v>
      </c>
      <c r="X48" s="4">
        <f t="shared" si="75"/>
        <v>11.801010835087412</v>
      </c>
      <c r="Y48" s="4">
        <f t="shared" si="10"/>
        <v>11.481234585090766</v>
      </c>
      <c r="Z48" s="4">
        <f t="shared" si="11"/>
        <v>0.71996337032492919</v>
      </c>
      <c r="AA48" s="5">
        <f t="shared" si="12"/>
        <v>0.56411013954840328</v>
      </c>
      <c r="AB48" s="4">
        <f t="shared" si="13"/>
        <v>0.49030833833848331</v>
      </c>
      <c r="AC48">
        <f t="shared" si="14"/>
        <v>0.30100678722754165</v>
      </c>
      <c r="AD48">
        <f t="shared" si="15"/>
        <v>0.16734507189506362</v>
      </c>
      <c r="AE48">
        <f t="shared" si="16"/>
        <v>6.3070597607875645E-2</v>
      </c>
    </row>
    <row r="49" spans="4:31" x14ac:dyDescent="0.25">
      <c r="D49">
        <v>67</v>
      </c>
      <c r="E49" s="6">
        <f t="shared" si="6"/>
        <v>1.5659711676843324E-2</v>
      </c>
      <c r="F49" s="6">
        <f t="shared" si="7"/>
        <v>1.3403017572989229E-2</v>
      </c>
      <c r="G49" s="5">
        <f t="shared" si="8"/>
        <v>1.6336445610413142E-2</v>
      </c>
      <c r="I49">
        <v>65</v>
      </c>
      <c r="J49" s="9">
        <f t="shared" si="73"/>
        <v>86989.892906655237</v>
      </c>
      <c r="K49" s="9">
        <f t="shared" si="74"/>
        <v>86022.384503382287</v>
      </c>
      <c r="L49" s="9">
        <f t="shared" si="72"/>
        <v>84856.247307645972</v>
      </c>
      <c r="M49">
        <v>67</v>
      </c>
      <c r="O49">
        <v>67</v>
      </c>
      <c r="P49">
        <f t="shared" si="0"/>
        <v>0.4536690196507106</v>
      </c>
      <c r="Q49">
        <f t="shared" si="1"/>
        <v>0.24310062833379587</v>
      </c>
      <c r="R49">
        <f t="shared" si="2"/>
        <v>0.4521301815493397</v>
      </c>
      <c r="S49" s="3">
        <f t="shared" si="3"/>
        <v>0.2410725274172586</v>
      </c>
      <c r="T49">
        <f t="shared" si="4"/>
        <v>0.46760093662454238</v>
      </c>
      <c r="U49">
        <f t="shared" si="5"/>
        <v>0.25580804360833287</v>
      </c>
      <c r="W49">
        <v>67</v>
      </c>
      <c r="X49" s="4">
        <f t="shared" si="75"/>
        <v>11.505266187463867</v>
      </c>
      <c r="Y49" s="4">
        <f t="shared" si="10"/>
        <v>11.18038033088461</v>
      </c>
      <c r="Z49" s="4">
        <f t="shared" si="11"/>
        <v>0.7139733218434996</v>
      </c>
      <c r="AA49" s="5">
        <f t="shared" si="12"/>
        <v>0.55941677982478866</v>
      </c>
      <c r="AB49" s="4">
        <f t="shared" si="13"/>
        <v>0.47951165960783937</v>
      </c>
      <c r="AC49">
        <f t="shared" si="14"/>
        <v>0.29437856306057775</v>
      </c>
      <c r="AD49">
        <f t="shared" si="15"/>
        <v>0.15436258004723419</v>
      </c>
      <c r="AE49">
        <f t="shared" si="16"/>
        <v>5.8177632968944251E-2</v>
      </c>
    </row>
    <row r="50" spans="4:31" x14ac:dyDescent="0.25">
      <c r="D50">
        <v>68</v>
      </c>
      <c r="E50" s="6">
        <f t="shared" si="6"/>
        <v>1.7190509973678103E-2</v>
      </c>
      <c r="F50" s="6">
        <f t="shared" si="7"/>
        <v>1.4714883185876437E-2</v>
      </c>
      <c r="G50" s="5">
        <f t="shared" si="8"/>
        <v>1.7934833318393628E-2</v>
      </c>
      <c r="I50">
        <v>66</v>
      </c>
      <c r="J50" s="9">
        <f t="shared" si="73"/>
        <v>85837.156916660897</v>
      </c>
      <c r="K50" s="9">
        <f t="shared" si="74"/>
        <v>84789.179925788791</v>
      </c>
      <c r="L50" s="9">
        <f t="shared" si="72"/>
        <v>83527.422940829318</v>
      </c>
      <c r="M50">
        <v>68</v>
      </c>
      <c r="O50">
        <v>68</v>
      </c>
      <c r="P50">
        <f t="shared" si="0"/>
        <v>0.46802184612518721</v>
      </c>
      <c r="Q50">
        <f t="shared" si="1"/>
        <v>0.25637346561427937</v>
      </c>
      <c r="R50">
        <f t="shared" si="2"/>
        <v>0.46638080284680283</v>
      </c>
      <c r="S50" s="3">
        <f t="shared" si="3"/>
        <v>0.25419101519071474</v>
      </c>
      <c r="T50">
        <f t="shared" si="4"/>
        <v>0.48207869143411974</v>
      </c>
      <c r="U50">
        <f t="shared" si="5"/>
        <v>0.26949631789879108</v>
      </c>
      <c r="W50">
        <v>68</v>
      </c>
      <c r="X50" s="4">
        <f t="shared" si="75"/>
        <v>11.206003140217142</v>
      </c>
      <c r="Y50" s="4">
        <f t="shared" si="10"/>
        <v>10.876347479883487</v>
      </c>
      <c r="Z50" s="4">
        <f t="shared" si="11"/>
        <v>0.70744181404089368</v>
      </c>
      <c r="AA50" s="5">
        <f t="shared" si="12"/>
        <v>0.55429917255495387</v>
      </c>
      <c r="AB50" s="4">
        <f t="shared" si="13"/>
        <v>0.46790970571892959</v>
      </c>
      <c r="AC50">
        <f t="shared" si="14"/>
        <v>0.28725596980120727</v>
      </c>
      <c r="AD50">
        <f t="shared" si="15"/>
        <v>0.14124205912445359</v>
      </c>
      <c r="AE50">
        <f t="shared" si="16"/>
        <v>5.3232646623333102E-2</v>
      </c>
    </row>
    <row r="51" spans="4:31" x14ac:dyDescent="0.25">
      <c r="D51">
        <v>69</v>
      </c>
      <c r="E51" s="6">
        <f t="shared" si="6"/>
        <v>1.8871638622870446E-2</v>
      </c>
      <c r="F51" s="6">
        <f t="shared" si="7"/>
        <v>1.6155920700614335E-2</v>
      </c>
      <c r="G51" s="5">
        <f t="shared" si="8"/>
        <v>1.9690060108845109E-2</v>
      </c>
      <c r="I51">
        <v>67</v>
      </c>
      <c r="J51" s="9">
        <f t="shared" si="73"/>
        <v>84588.643459510378</v>
      </c>
      <c r="K51" s="9">
        <f t="shared" si="74"/>
        <v>83454.900384747234</v>
      </c>
      <c r="L51" s="9">
        <f t="shared" si="72"/>
        <v>82091.543943689365</v>
      </c>
      <c r="M51">
        <v>69</v>
      </c>
      <c r="O51">
        <v>69</v>
      </c>
      <c r="P51">
        <f t="shared" si="0"/>
        <v>0.48252731915019198</v>
      </c>
      <c r="Q51">
        <f t="shared" si="1"/>
        <v>0.27010446944194161</v>
      </c>
      <c r="R51">
        <f t="shared" si="2"/>
        <v>0.48077924953509227</v>
      </c>
      <c r="S51" s="3">
        <f t="shared" si="3"/>
        <v>0.26775840524690053</v>
      </c>
      <c r="T51">
        <f t="shared" si="4"/>
        <v>0.49668672261484598</v>
      </c>
      <c r="U51">
        <f t="shared" si="5"/>
        <v>0.28363002528084402</v>
      </c>
      <c r="W51">
        <v>69</v>
      </c>
      <c r="X51" s="4">
        <f t="shared" si="75"/>
        <v>10.903635759763064</v>
      </c>
      <c r="Y51" s="4">
        <f t="shared" si="10"/>
        <v>10.569578825088236</v>
      </c>
      <c r="Z51" s="4">
        <f t="shared" si="11"/>
        <v>0.70032614673343108</v>
      </c>
      <c r="AA51" s="5">
        <f t="shared" si="12"/>
        <v>0.54872386102767279</v>
      </c>
      <c r="AB51" s="4">
        <f t="shared" si="13"/>
        <v>0.45547151745655151</v>
      </c>
      <c r="AC51">
        <f t="shared" si="14"/>
        <v>0.27962000117689828</v>
      </c>
      <c r="AD51">
        <f t="shared" si="15"/>
        <v>0.12809384234107096</v>
      </c>
      <c r="AE51">
        <f t="shared" si="16"/>
        <v>4.8277221999141917E-2</v>
      </c>
    </row>
    <row r="52" spans="4:31" x14ac:dyDescent="0.25">
      <c r="D52">
        <v>70</v>
      </c>
      <c r="E52" s="6">
        <f t="shared" si="6"/>
        <v>2.0717558977211059E-2</v>
      </c>
      <c r="F52" s="6">
        <f t="shared" si="7"/>
        <v>1.7738627804954277E-2</v>
      </c>
      <c r="G52" s="5">
        <f t="shared" si="8"/>
        <v>2.1617186462078886E-2</v>
      </c>
      <c r="I52">
        <v>68</v>
      </c>
      <c r="J52" s="9">
        <f t="shared" si="73"/>
        <v>83238.074243770083</v>
      </c>
      <c r="K52" s="9">
        <f t="shared" si="74"/>
        <v>82013.235704655701</v>
      </c>
      <c r="L52" s="9">
        <f t="shared" si="72"/>
        <v>80542.341992390575</v>
      </c>
      <c r="M52">
        <v>70</v>
      </c>
      <c r="O52">
        <v>70</v>
      </c>
      <c r="P52">
        <f t="shared" si="0"/>
        <v>0.49716435248102647</v>
      </c>
      <c r="Q52">
        <f t="shared" si="1"/>
        <v>0.28428343315381799</v>
      </c>
      <c r="R52">
        <f t="shared" si="2"/>
        <v>0.49530446508076703</v>
      </c>
      <c r="S52" s="3">
        <f t="shared" si="3"/>
        <v>0.28176430866351859</v>
      </c>
      <c r="T52">
        <f t="shared" si="4"/>
        <v>0.51140264164852467</v>
      </c>
      <c r="U52">
        <f t="shared" si="5"/>
        <v>0.29819611234637156</v>
      </c>
      <c r="W52">
        <v>70</v>
      </c>
      <c r="X52" s="4">
        <f t="shared" si="75"/>
        <v>10.598606233303894</v>
      </c>
      <c r="Y52" s="4">
        <f t="shared" si="10"/>
        <v>10.260544525380983</v>
      </c>
      <c r="Z52" s="4">
        <f t="shared" si="11"/>
        <v>0.6925815500797492</v>
      </c>
      <c r="AA52" s="5">
        <f t="shared" si="12"/>
        <v>0.54265576690076889</v>
      </c>
      <c r="AB52" s="4">
        <f t="shared" si="13"/>
        <v>0.44217105633206538</v>
      </c>
      <c r="AC52">
        <f t="shared" si="14"/>
        <v>0.27145467181437261</v>
      </c>
      <c r="AD52">
        <f t="shared" si="15"/>
        <v>0.11504000370707143</v>
      </c>
      <c r="AE52">
        <f t="shared" si="16"/>
        <v>4.3357367506866223E-2</v>
      </c>
    </row>
    <row r="53" spans="4:31" x14ac:dyDescent="0.25">
      <c r="D53">
        <v>71</v>
      </c>
      <c r="E53" s="6">
        <f t="shared" si="6"/>
        <v>2.2744060347029804E-2</v>
      </c>
      <c r="F53" s="6">
        <f t="shared" si="7"/>
        <v>1.9476665036241458E-2</v>
      </c>
      <c r="G53" s="5">
        <f t="shared" si="8"/>
        <v>2.3732650123934995E-2</v>
      </c>
      <c r="I53">
        <v>69</v>
      </c>
      <c r="J53" s="9">
        <f t="shared" si="73"/>
        <v>81779.139903558564</v>
      </c>
      <c r="K53" s="9">
        <f t="shared" si="74"/>
        <v>80457.922604312233</v>
      </c>
      <c r="L53" s="9">
        <f t="shared" si="72"/>
        <v>78873.701272000515</v>
      </c>
      <c r="M53">
        <v>71</v>
      </c>
      <c r="O53">
        <v>71</v>
      </c>
      <c r="P53">
        <f t="shared" si="0"/>
        <v>0.51191054809916769</v>
      </c>
      <c r="Q53">
        <f t="shared" si="1"/>
        <v>0.29889734954214475</v>
      </c>
      <c r="R53">
        <f t="shared" si="2"/>
        <v>0.50993411753671924</v>
      </c>
      <c r="S53" s="3">
        <f t="shared" si="3"/>
        <v>0.29619558772098636</v>
      </c>
      <c r="T53">
        <f t="shared" si="4"/>
        <v>0.52620283473047991</v>
      </c>
      <c r="U53">
        <f t="shared" si="5"/>
        <v>0.31317864601100598</v>
      </c>
      <c r="W53">
        <v>71</v>
      </c>
      <c r="X53" s="4">
        <f t="shared" si="75"/>
        <v>10.291383531728897</v>
      </c>
      <c r="Y53" s="4">
        <f t="shared" si="10"/>
        <v>9.949740470659922</v>
      </c>
      <c r="Z53" s="4">
        <f t="shared" si="11"/>
        <v>0.6841613761001617</v>
      </c>
      <c r="AA53" s="5">
        <f t="shared" si="12"/>
        <v>0.53605834026154509</v>
      </c>
      <c r="AB53" s="4">
        <f t="shared" si="13"/>
        <v>0.42798870425789948</v>
      </c>
      <c r="AC53">
        <f t="shared" si="14"/>
        <v>0.26274793790966089</v>
      </c>
      <c r="AD53">
        <f t="shared" si="15"/>
        <v>0.10221192894806327</v>
      </c>
      <c r="AE53">
        <f t="shared" si="16"/>
        <v>3.8522601044687452E-2</v>
      </c>
    </row>
    <row r="54" spans="4:31" x14ac:dyDescent="0.25">
      <c r="D54">
        <v>72</v>
      </c>
      <c r="E54" s="6">
        <f t="shared" si="6"/>
        <v>2.4968368593117463E-2</v>
      </c>
      <c r="F54" s="6">
        <f t="shared" si="7"/>
        <v>2.1384954199321404E-2</v>
      </c>
      <c r="G54" s="5">
        <f t="shared" si="8"/>
        <v>2.6054377487948255E-2</v>
      </c>
      <c r="I54">
        <v>70</v>
      </c>
      <c r="J54" s="9">
        <f t="shared" si="73"/>
        <v>80205.593933627766</v>
      </c>
      <c r="K54" s="9">
        <f t="shared" si="74"/>
        <v>78782.856754963839</v>
      </c>
      <c r="L54" s="9">
        <f t="shared" si="72"/>
        <v>77079.793050476539</v>
      </c>
      <c r="M54">
        <v>72</v>
      </c>
      <c r="O54">
        <v>72</v>
      </c>
      <c r="P54">
        <f t="shared" si="0"/>
        <v>0.52674227320623046</v>
      </c>
      <c r="Q54">
        <f t="shared" si="1"/>
        <v>0.31393031761170775</v>
      </c>
      <c r="R54">
        <f t="shared" si="2"/>
        <v>0.5246446800320379</v>
      </c>
      <c r="S54" s="3">
        <f t="shared" si="3"/>
        <v>0.31103627093077013</v>
      </c>
      <c r="T54">
        <f t="shared" si="4"/>
        <v>0.54106255785297186</v>
      </c>
      <c r="U54">
        <f t="shared" si="5"/>
        <v>0.32855874828572934</v>
      </c>
      <c r="W54">
        <v>72</v>
      </c>
      <c r="X54" s="4">
        <f t="shared" si="75"/>
        <v>9.9824617193272047</v>
      </c>
      <c r="Y54" s="4">
        <f t="shared" si="10"/>
        <v>9.6376862850875913</v>
      </c>
      <c r="Z54" s="4">
        <f t="shared" si="11"/>
        <v>0.67501737361879333</v>
      </c>
      <c r="AA54" s="5">
        <f t="shared" si="12"/>
        <v>0.52889377505114055</v>
      </c>
      <c r="AB54" s="4">
        <f t="shared" si="13"/>
        <v>0.41291294888304203</v>
      </c>
      <c r="AC54">
        <f t="shared" si="14"/>
        <v>0.25349273187789756</v>
      </c>
      <c r="AD54">
        <f t="shared" si="15"/>
        <v>8.974691967115915E-2</v>
      </c>
      <c r="AE54">
        <f t="shared" si="16"/>
        <v>3.38246701443079E-2</v>
      </c>
    </row>
    <row r="55" spans="4:31" x14ac:dyDescent="0.25">
      <c r="D55">
        <v>73</v>
      </c>
      <c r="E55" s="6">
        <f t="shared" si="6"/>
        <v>2.7409260696828586E-2</v>
      </c>
      <c r="F55" s="6">
        <f t="shared" si="7"/>
        <v>2.347978300035114E-2</v>
      </c>
      <c r="G55" s="5">
        <f t="shared" si="8"/>
        <v>2.8601900811624059E-2</v>
      </c>
      <c r="I55">
        <v>71</v>
      </c>
      <c r="J55" s="9">
        <f t="shared" si="73"/>
        <v>78511.368286842393</v>
      </c>
      <c r="K55" s="9">
        <f t="shared" si="74"/>
        <v>76982.228665182571</v>
      </c>
      <c r="L55" s="9">
        <f t="shared" si="72"/>
        <v>75155.236366511032</v>
      </c>
      <c r="M55">
        <v>73</v>
      </c>
      <c r="O55">
        <v>73</v>
      </c>
      <c r="P55">
        <f t="shared" si="0"/>
        <v>0.54163475446576848</v>
      </c>
      <c r="Q55">
        <f t="shared" si="1"/>
        <v>0.32936347522430082</v>
      </c>
      <c r="R55">
        <f t="shared" si="2"/>
        <v>0.53941152844036233</v>
      </c>
      <c r="S55" s="3">
        <f t="shared" si="3"/>
        <v>0.32626749427432372</v>
      </c>
      <c r="T55">
        <f t="shared" si="4"/>
        <v>0.55595604925629982</v>
      </c>
      <c r="U55">
        <f t="shared" si="5"/>
        <v>0.34431456060393234</v>
      </c>
      <c r="W55">
        <v>73</v>
      </c>
      <c r="X55" s="4">
        <f t="shared" si="75"/>
        <v>9.6723579027523918</v>
      </c>
      <c r="Y55" s="4">
        <f t="shared" si="10"/>
        <v>9.324922965617704</v>
      </c>
      <c r="Z55" s="4">
        <f t="shared" si="11"/>
        <v>0.66510006275998279</v>
      </c>
      <c r="AA55" s="5">
        <f t="shared" si="12"/>
        <v>0.5211233024922608</v>
      </c>
      <c r="AB55" s="4">
        <f t="shared" si="13"/>
        <v>0.39694224127122962</v>
      </c>
      <c r="AC55">
        <f t="shared" si="14"/>
        <v>0.24368810280658162</v>
      </c>
      <c r="AD55">
        <f t="shared" si="15"/>
        <v>7.778382851469394E-2</v>
      </c>
      <c r="AE55">
        <f t="shared" si="16"/>
        <v>2.9315906904785163E-2</v>
      </c>
    </row>
    <row r="56" spans="4:31" x14ac:dyDescent="0.25">
      <c r="D56">
        <v>74</v>
      </c>
      <c r="E56" s="6">
        <f t="shared" si="6"/>
        <v>3.0087184944868506E-2</v>
      </c>
      <c r="F56" s="6">
        <f t="shared" si="7"/>
        <v>2.577891579772118E-2</v>
      </c>
      <c r="G56" s="5">
        <f t="shared" si="8"/>
        <v>3.1396480810320759E-2</v>
      </c>
      <c r="I56">
        <v>72</v>
      </c>
      <c r="J56" s="9">
        <f t="shared" si="73"/>
        <v>76690.71318777313</v>
      </c>
      <c r="K56" s="9">
        <f t="shared" si="74"/>
        <v>75050.685798739301</v>
      </c>
      <c r="L56" s="9">
        <f t="shared" si="72"/>
        <v>73095.286900209554</v>
      </c>
      <c r="M56">
        <v>74</v>
      </c>
      <c r="O56">
        <v>74</v>
      </c>
      <c r="P56">
        <f t="shared" si="0"/>
        <v>0.55656218964212723</v>
      </c>
      <c r="Q56">
        <f t="shared" si="1"/>
        <v>0.34517496123651237</v>
      </c>
      <c r="R56">
        <f t="shared" si="2"/>
        <v>0.55420905631576045</v>
      </c>
      <c r="S56" s="3">
        <f t="shared" si="3"/>
        <v>0.34186747215506363</v>
      </c>
      <c r="T56">
        <f t="shared" si="4"/>
        <v>0.57085665908084071</v>
      </c>
      <c r="U56">
        <f t="shared" si="5"/>
        <v>0.36042124107871482</v>
      </c>
      <c r="W56">
        <v>74</v>
      </c>
      <c r="X56" s="4">
        <f t="shared" si="75"/>
        <v>9.3616098173690308</v>
      </c>
      <c r="Y56" s="4">
        <f t="shared" si="10"/>
        <v>9.0120101593023456</v>
      </c>
      <c r="Z56" s="4">
        <f t="shared" si="11"/>
        <v>0.65435922679824066</v>
      </c>
      <c r="AA56" s="5">
        <f t="shared" si="12"/>
        <v>0.51270757646649057</v>
      </c>
      <c r="AB56" s="4">
        <f t="shared" si="13"/>
        <v>0.38008699848958055</v>
      </c>
      <c r="AC56">
        <f t="shared" si="14"/>
        <v>0.23334044587128003</v>
      </c>
      <c r="AD56">
        <f t="shared" si="15"/>
        <v>6.6457814543870536E-2</v>
      </c>
      <c r="AE56">
        <f t="shared" si="16"/>
        <v>2.5047251356309148E-2</v>
      </c>
    </row>
    <row r="57" spans="4:31" x14ac:dyDescent="0.25">
      <c r="D57">
        <v>75</v>
      </c>
      <c r="E57" s="6">
        <f t="shared" si="6"/>
        <v>3.3024386149273943E-2</v>
      </c>
      <c r="F57" s="6">
        <f t="shared" si="7"/>
        <v>2.8301710223392229E-2</v>
      </c>
      <c r="G57" s="5">
        <f t="shared" si="8"/>
        <v>3.4461233931951107E-2</v>
      </c>
      <c r="I57">
        <v>73</v>
      </c>
      <c r="J57" s="9">
        <f t="shared" si="73"/>
        <v>74738.363526914589</v>
      </c>
      <c r="K57" s="9">
        <f t="shared" si="74"/>
        <v>72983.522969501282</v>
      </c>
      <c r="L57" s="9">
        <f t="shared" si="72"/>
        <v>70896.055484644719</v>
      </c>
      <c r="M57">
        <v>75</v>
      </c>
      <c r="O57">
        <v>75</v>
      </c>
      <c r="P57">
        <f t="shared" si="0"/>
        <v>0.57149787648476169</v>
      </c>
      <c r="Q57">
        <f t="shared" si="1"/>
        <v>0.36133991053460324</v>
      </c>
      <c r="R57">
        <f t="shared" si="2"/>
        <v>0.56901080687973415</v>
      </c>
      <c r="S57" s="3">
        <f t="shared" si="3"/>
        <v>0.35781150134305734</v>
      </c>
      <c r="T57">
        <f t="shared" si="4"/>
        <v>0.58573699572032567</v>
      </c>
      <c r="U57">
        <f t="shared" si="5"/>
        <v>0.37685099774284259</v>
      </c>
      <c r="W57">
        <v>75</v>
      </c>
      <c r="X57" s="4">
        <f t="shared" si="75"/>
        <v>9.0507730555255836</v>
      </c>
      <c r="Y57" s="4">
        <f t="shared" si="10"/>
        <v>8.6995230898731606</v>
      </c>
      <c r="Z57" s="4">
        <f t="shared" si="11"/>
        <v>0.64274454061249375</v>
      </c>
      <c r="AA57" s="5">
        <f t="shared" si="12"/>
        <v>0.50360716592463806</v>
      </c>
      <c r="AB57" s="4">
        <f t="shared" si="13"/>
        <v>0.36237170574979849</v>
      </c>
      <c r="AC57">
        <f t="shared" si="14"/>
        <v>0.22246479286797347</v>
      </c>
      <c r="AD57">
        <f t="shared" si="15"/>
        <v>5.589442202013039E-2</v>
      </c>
      <c r="AE57">
        <f t="shared" si="16"/>
        <v>2.1066019810652203E-2</v>
      </c>
    </row>
    <row r="58" spans="4:31" x14ac:dyDescent="0.25">
      <c r="D58">
        <v>76</v>
      </c>
      <c r="E58" s="6">
        <f t="shared" si="6"/>
        <v>3.624503505310861E-2</v>
      </c>
      <c r="F58" s="6">
        <f t="shared" si="7"/>
        <v>3.1069239240514079E-2</v>
      </c>
      <c r="G58" s="5">
        <f t="shared" si="8"/>
        <v>3.7821263318063014E-2</v>
      </c>
      <c r="I58">
        <v>74</v>
      </c>
      <c r="J58" s="9">
        <f t="shared" si="73"/>
        <v>72649.733801232214</v>
      </c>
      <c r="K58" s="9">
        <f t="shared" si="74"/>
        <v>70776.902430843387</v>
      </c>
      <c r="L58" s="9">
        <f t="shared" si="72"/>
        <v>68554.756771859466</v>
      </c>
      <c r="M58">
        <v>76</v>
      </c>
      <c r="O58">
        <v>76</v>
      </c>
      <c r="P58">
        <f t="shared" si="0"/>
        <v>0.58641435837415268</v>
      </c>
      <c r="Q58">
        <f t="shared" si="1"/>
        <v>0.3778304850524663</v>
      </c>
      <c r="R58">
        <f t="shared" si="2"/>
        <v>0.5837896215071009</v>
      </c>
      <c r="S58" s="3">
        <f t="shared" si="3"/>
        <v>0.37407200085430764</v>
      </c>
      <c r="T58">
        <f t="shared" si="4"/>
        <v>0.60056908801803144</v>
      </c>
      <c r="U58">
        <f t="shared" si="5"/>
        <v>0.39357316037984669</v>
      </c>
      <c r="W58">
        <v>76</v>
      </c>
      <c r="X58" s="4">
        <f t="shared" si="75"/>
        <v>8.7404179483508813</v>
      </c>
      <c r="Y58" s="4">
        <f t="shared" si="10"/>
        <v>8.38804915162134</v>
      </c>
      <c r="Z58" s="4">
        <f t="shared" si="11"/>
        <v>0.63020635604941744</v>
      </c>
      <c r="AA58" s="5">
        <f t="shared" si="12"/>
        <v>0.49378317023945689</v>
      </c>
      <c r="AB58" s="4">
        <f t="shared" si="13"/>
        <v>0.34383705083168342</v>
      </c>
      <c r="AC58">
        <f t="shared" si="14"/>
        <v>0.21108612256393816</v>
      </c>
      <c r="AD58">
        <f t="shared" si="15"/>
        <v>4.6203313808835043E-2</v>
      </c>
      <c r="AE58">
        <f t="shared" si="16"/>
        <v>1.7413543048430812E-2</v>
      </c>
    </row>
    <row r="59" spans="4:31" x14ac:dyDescent="0.25">
      <c r="D59">
        <v>77</v>
      </c>
      <c r="E59" s="6">
        <f t="shared" si="6"/>
        <v>3.9775360739580767E-2</v>
      </c>
      <c r="F59" s="6">
        <f t="shared" si="7"/>
        <v>3.4104417968398359E-2</v>
      </c>
      <c r="G59" s="5">
        <f t="shared" si="8"/>
        <v>4.1503792091432179E-2</v>
      </c>
      <c r="I59">
        <v>75</v>
      </c>
      <c r="J59" s="9">
        <f t="shared" si="73"/>
        <v>70421.142892712451</v>
      </c>
      <c r="K59" s="9">
        <f t="shared" si="74"/>
        <v>68428.104112962799</v>
      </c>
      <c r="L59" s="9">
        <f t="shared" si="72"/>
        <v>66069.987209606086</v>
      </c>
      <c r="M59">
        <v>77</v>
      </c>
      <c r="O59">
        <v>77</v>
      </c>
      <c r="P59">
        <f t="shared" si="0"/>
        <v>0.60128358588708819</v>
      </c>
      <c r="Q59">
        <f t="shared" si="1"/>
        <v>0.39461594341897166</v>
      </c>
      <c r="R59">
        <f t="shared" si="2"/>
        <v>0.59851780379786657</v>
      </c>
      <c r="S59" s="3">
        <f t="shared" si="3"/>
        <v>0.39061859024780465</v>
      </c>
      <c r="T59">
        <f t="shared" si="4"/>
        <v>0.61532456207043329</v>
      </c>
      <c r="U59">
        <f t="shared" si="5"/>
        <v>0.4105542929865395</v>
      </c>
      <c r="W59">
        <v>77</v>
      </c>
      <c r="X59" s="4">
        <f t="shared" si="75"/>
        <v>8.4311261202448033</v>
      </c>
      <c r="Y59" s="4">
        <f t="shared" si="10"/>
        <v>8.0781841965209011</v>
      </c>
      <c r="Z59" s="4">
        <f t="shared" si="11"/>
        <v>0.61669666491814801</v>
      </c>
      <c r="AA59" s="5">
        <f t="shared" si="12"/>
        <v>0.48319797373720036</v>
      </c>
      <c r="AB59" s="4">
        <f t="shared" si="13"/>
        <v>0.32454199779026865</v>
      </c>
      <c r="AC59">
        <f t="shared" si="14"/>
        <v>0.19924063377404172</v>
      </c>
      <c r="AD59">
        <f t="shared" si="15"/>
        <v>3.7472118471994199E-2</v>
      </c>
      <c r="AE59">
        <f t="shared" si="16"/>
        <v>1.4122847353065709E-2</v>
      </c>
    </row>
    <row r="60" spans="4:31" x14ac:dyDescent="0.25">
      <c r="D60">
        <v>78</v>
      </c>
      <c r="E60" s="6">
        <f t="shared" si="6"/>
        <v>4.3643784455563051E-2</v>
      </c>
      <c r="F60" s="6">
        <f t="shared" si="7"/>
        <v>3.7432134314778653E-2</v>
      </c>
      <c r="G60" s="5">
        <f t="shared" si="8"/>
        <v>4.5538297165405028E-2</v>
      </c>
      <c r="I60">
        <v>76</v>
      </c>
      <c r="J60" s="9">
        <f t="shared" si="73"/>
        <v>68050.068952948233</v>
      </c>
      <c r="K60" s="9">
        <f t="shared" si="74"/>
        <v>65935.805080315607</v>
      </c>
      <c r="L60" s="9">
        <f t="shared" si="72"/>
        <v>63442.029634284518</v>
      </c>
      <c r="M60">
        <v>78</v>
      </c>
      <c r="O60">
        <v>78</v>
      </c>
      <c r="P60">
        <f t="shared" si="0"/>
        <v>0.61607709306178671</v>
      </c>
      <c r="Q60">
        <f t="shared" si="1"/>
        <v>0.41166275131649754</v>
      </c>
      <c r="R60">
        <f t="shared" si="2"/>
        <v>0.61316729794418789</v>
      </c>
      <c r="S60" s="3">
        <f t="shared" si="3"/>
        <v>0.40741820824180663</v>
      </c>
      <c r="T60">
        <f t="shared" si="4"/>
        <v>0.62997483101614482</v>
      </c>
      <c r="U60">
        <f t="shared" si="5"/>
        <v>0.42775834821652181</v>
      </c>
      <c r="W60">
        <v>78</v>
      </c>
      <c r="X60" s="4">
        <f t="shared" si="75"/>
        <v>8.1234867431720552</v>
      </c>
      <c r="Y60" s="4">
        <f t="shared" si="10"/>
        <v>7.770528548660959</v>
      </c>
      <c r="Z60" s="4">
        <f t="shared" si="11"/>
        <v>0.60217025981242678</v>
      </c>
      <c r="AA60" s="5">
        <f t="shared" si="12"/>
        <v>0.47181615523214671</v>
      </c>
      <c r="AB60" s="4">
        <f t="shared" si="13"/>
        <v>0.30456567809919738</v>
      </c>
      <c r="AC60">
        <f t="shared" si="14"/>
        <v>0.18697690635872583</v>
      </c>
      <c r="AD60">
        <f t="shared" si="15"/>
        <v>2.9760956135965366E-2</v>
      </c>
      <c r="AE60">
        <f t="shared" si="16"/>
        <v>1.1216591367890043E-2</v>
      </c>
    </row>
    <row r="61" spans="4:31" x14ac:dyDescent="0.25">
      <c r="D61">
        <v>79</v>
      </c>
      <c r="E61" s="6">
        <f t="shared" si="6"/>
        <v>4.7881052767445476E-2</v>
      </c>
      <c r="F61" s="6">
        <f t="shared" si="7"/>
        <v>4.1079382097529482E-2</v>
      </c>
      <c r="G61" s="5">
        <f t="shared" si="8"/>
        <v>4.9956641232849597E-2</v>
      </c>
      <c r="I61">
        <v>77</v>
      </c>
      <c r="J61" s="9">
        <f t="shared" si="73"/>
        <v>65535.43320843827</v>
      </c>
      <c r="K61" s="9">
        <f t="shared" si="74"/>
        <v>63300.385402557637</v>
      </c>
      <c r="L61" s="9">
        <f t="shared" si="72"/>
        <v>60673.179367502358</v>
      </c>
      <c r="M61">
        <v>79</v>
      </c>
      <c r="O61">
        <v>79</v>
      </c>
      <c r="P61">
        <f t="shared" si="0"/>
        <v>0.63076618675594709</v>
      </c>
      <c r="Q61">
        <f t="shared" si="1"/>
        <v>0.42893473394466058</v>
      </c>
      <c r="R61">
        <f t="shared" si="2"/>
        <v>0.62770987971514169</v>
      </c>
      <c r="S61" s="3">
        <f t="shared" si="3"/>
        <v>0.42443527284846982</v>
      </c>
      <c r="T61">
        <f t="shared" si="4"/>
        <v>0.64449129580215803</v>
      </c>
      <c r="U61">
        <f t="shared" si="5"/>
        <v>0.44514686434797607</v>
      </c>
      <c r="W61">
        <v>79</v>
      </c>
      <c r="X61" s="4">
        <f t="shared" si="75"/>
        <v>7.8180925259820251</v>
      </c>
      <c r="Y61" s="4">
        <f t="shared" si="10"/>
        <v>7.4656827881546821</v>
      </c>
      <c r="Z61" s="4">
        <f t="shared" si="11"/>
        <v>0.5865861111029802</v>
      </c>
      <c r="AA61" s="5">
        <f t="shared" si="12"/>
        <v>0.45960556693615973</v>
      </c>
      <c r="AB61" s="4">
        <f t="shared" si="13"/>
        <v>0.28400894684596539</v>
      </c>
      <c r="AC61">
        <f t="shared" si="14"/>
        <v>0.17435685659289119</v>
      </c>
      <c r="AD61">
        <f t="shared" si="15"/>
        <v>2.3098265894035935E-2</v>
      </c>
      <c r="AE61">
        <f t="shared" si="16"/>
        <v>8.7054934880662713E-3</v>
      </c>
    </row>
    <row r="62" spans="4:31" x14ac:dyDescent="0.25">
      <c r="D62">
        <v>80</v>
      </c>
      <c r="E62" s="6">
        <f t="shared" si="6"/>
        <v>5.2520367374209509E-2</v>
      </c>
      <c r="F62" s="6">
        <f t="shared" si="7"/>
        <v>4.5075394902087007E-2</v>
      </c>
      <c r="G62" s="5">
        <f t="shared" si="8"/>
        <v>5.4793199948533933E-2</v>
      </c>
      <c r="I62">
        <v>78</v>
      </c>
      <c r="J62" s="9">
        <f t="shared" si="73"/>
        <v>62877.909538134627</v>
      </c>
      <c r="K62" s="9">
        <f t="shared" si="74"/>
        <v>60524.255182870664</v>
      </c>
      <c r="L62" s="9">
        <f t="shared" si="72"/>
        <v>57768.083664638296</v>
      </c>
      <c r="M62">
        <v>80</v>
      </c>
      <c r="O62">
        <v>80</v>
      </c>
      <c r="P62">
        <f t="shared" si="0"/>
        <v>0.64532214710377611</v>
      </c>
      <c r="Q62">
        <f t="shared" si="1"/>
        <v>0.44639327117889194</v>
      </c>
      <c r="R62">
        <f t="shared" si="2"/>
        <v>0.6421173579978644</v>
      </c>
      <c r="S62" s="3">
        <f t="shared" si="3"/>
        <v>0.44163188341057102</v>
      </c>
      <c r="T62">
        <f t="shared" si="4"/>
        <v>0.65884555454633098</v>
      </c>
      <c r="U62">
        <f t="shared" si="5"/>
        <v>0.46267920440982369</v>
      </c>
      <c r="W62">
        <v>80</v>
      </c>
      <c r="X62" s="4">
        <f t="shared" si="75"/>
        <v>7.5155354820448483</v>
      </c>
      <c r="Y62" s="4">
        <f t="shared" si="10"/>
        <v>7.1642433545270494</v>
      </c>
      <c r="Z62" s="4">
        <f t="shared" si="11"/>
        <v>0.56990897479863689</v>
      </c>
      <c r="AA62" s="5">
        <f t="shared" si="12"/>
        <v>0.44653859425994558</v>
      </c>
      <c r="AB62" s="4">
        <f t="shared" si="13"/>
        <v>0.2629954217641966</v>
      </c>
      <c r="AC62">
        <f t="shared" si="14"/>
        <v>0.1614563750415822</v>
      </c>
      <c r="AD62">
        <f t="shared" si="15"/>
        <v>1.74785387894653E-2</v>
      </c>
      <c r="AE62">
        <f t="shared" si="16"/>
        <v>6.58747744573726E-3</v>
      </c>
    </row>
    <row r="63" spans="4:31" x14ac:dyDescent="0.25">
      <c r="D63">
        <v>81</v>
      </c>
      <c r="E63" s="6">
        <f t="shared" si="6"/>
        <v>5.7597508194832447E-2</v>
      </c>
      <c r="F63" s="6">
        <f t="shared" si="7"/>
        <v>4.9451778393820311E-2</v>
      </c>
      <c r="G63" s="5">
        <f t="shared" si="8"/>
        <v>6.00849805528898E-2</v>
      </c>
      <c r="I63">
        <v>79</v>
      </c>
      <c r="J63" s="9">
        <f t="shared" si="73"/>
        <v>60080.254131066489</v>
      </c>
      <c r="K63" s="9">
        <f t="shared" si="74"/>
        <v>57612.194415099737</v>
      </c>
      <c r="L63" s="9">
        <f t="shared" si="72"/>
        <v>54734.082688067421</v>
      </c>
      <c r="M63">
        <v>81</v>
      </c>
      <c r="O63">
        <v>81</v>
      </c>
      <c r="P63">
        <f t="shared" si="0"/>
        <v>0.65971643670321267</v>
      </c>
      <c r="Q63">
        <f t="shared" si="1"/>
        <v>0.463997535104959</v>
      </c>
      <c r="R63">
        <f t="shared" si="2"/>
        <v>0.65636178446359916</v>
      </c>
      <c r="S63" s="3">
        <f t="shared" si="3"/>
        <v>0.45896806400885293</v>
      </c>
      <c r="T63">
        <f t="shared" si="4"/>
        <v>0.67300961776771773</v>
      </c>
      <c r="U63">
        <f t="shared" si="5"/>
        <v>0.48031283610680081</v>
      </c>
      <c r="W63">
        <v>81</v>
      </c>
      <c r="X63" s="4">
        <f t="shared" si="75"/>
        <v>7.2164025262644182</v>
      </c>
      <c r="Y63" s="4">
        <f t="shared" si="10"/>
        <v>6.8667980268779285</v>
      </c>
      <c r="Z63" s="4">
        <f t="shared" si="11"/>
        <v>0.55211123999660405</v>
      </c>
      <c r="AA63" s="5">
        <f t="shared" si="12"/>
        <v>0.43259360333868657</v>
      </c>
      <c r="AB63" s="4">
        <f t="shared" si="13"/>
        <v>0.24167179732982921</v>
      </c>
      <c r="AC63">
        <f t="shared" si="14"/>
        <v>0.14836551938779843</v>
      </c>
      <c r="AD63">
        <f t="shared" si="15"/>
        <v>1.2862442419671976E-2</v>
      </c>
      <c r="AE63">
        <f t="shared" si="16"/>
        <v>4.8477192720339183E-3</v>
      </c>
    </row>
    <row r="64" spans="4:31" x14ac:dyDescent="0.25">
      <c r="D64">
        <v>82</v>
      </c>
      <c r="E64" s="6">
        <f t="shared" si="6"/>
        <v>6.3150945509115375E-2</v>
      </c>
      <c r="F64" s="6">
        <f t="shared" si="7"/>
        <v>5.4242638172502744E-2</v>
      </c>
      <c r="G64" s="5">
        <f t="shared" si="8"/>
        <v>6.5871727281748615E-2</v>
      </c>
      <c r="I64">
        <v>80</v>
      </c>
      <c r="J64" s="9">
        <f t="shared" si="73"/>
        <v>57147.646360052873</v>
      </c>
      <c r="K64" s="9">
        <f t="shared" si="74"/>
        <v>54571.693632648676</v>
      </c>
      <c r="L64" s="9">
        <f t="shared" si="72"/>
        <v>51581.535911904823</v>
      </c>
      <c r="M64">
        <v>82</v>
      </c>
      <c r="O64">
        <v>82</v>
      </c>
      <c r="P64">
        <f t="shared" si="0"/>
        <v>0.67392091581485614</v>
      </c>
      <c r="Q64">
        <f t="shared" si="1"/>
        <v>0.48170476861624917</v>
      </c>
      <c r="R64">
        <f t="shared" si="2"/>
        <v>0.67041566858419499</v>
      </c>
      <c r="S64" s="3">
        <f t="shared" si="3"/>
        <v>0.47640204671266867</v>
      </c>
      <c r="T64">
        <f t="shared" si="4"/>
        <v>0.68695612644821669</v>
      </c>
      <c r="U64">
        <f t="shared" si="5"/>
        <v>0.49800365013084763</v>
      </c>
      <c r="W64">
        <v>82</v>
      </c>
      <c r="X64" s="4">
        <f t="shared" si="75"/>
        <v>6.9212709597319053</v>
      </c>
      <c r="Y64" s="4">
        <f t="shared" si="10"/>
        <v>6.5739213445874496</v>
      </c>
      <c r="Z64" s="4">
        <f t="shared" si="11"/>
        <v>0.53317501572177473</v>
      </c>
      <c r="AA64" s="5">
        <f t="shared" si="12"/>
        <v>0.41775657612524247</v>
      </c>
      <c r="AB64" s="4">
        <f t="shared" si="13"/>
        <v>0.22020720973236632</v>
      </c>
      <c r="AC64">
        <f t="shared" si="14"/>
        <v>0.13518812457992938</v>
      </c>
      <c r="AD64">
        <f t="shared" si="15"/>
        <v>9.1795966039940908E-3</v>
      </c>
      <c r="AE64">
        <f t="shared" si="16"/>
        <v>3.4596934170620856E-3</v>
      </c>
    </row>
    <row r="65" spans="4:31" x14ac:dyDescent="0.25">
      <c r="D65">
        <v>83</v>
      </c>
      <c r="E65" s="6">
        <f t="shared" si="6"/>
        <v>6.9221935947016089E-2</v>
      </c>
      <c r="F65" s="6">
        <f t="shared" si="7"/>
        <v>5.9484699503734917E-2</v>
      </c>
      <c r="G65" s="5">
        <f t="shared" si="8"/>
        <v>7.2196007850145127E-2</v>
      </c>
      <c r="I65">
        <v>81</v>
      </c>
      <c r="J65" s="9">
        <f t="shared" si="73"/>
        <v>54088.028202662841</v>
      </c>
      <c r="K65" s="9">
        <f t="shared" si="74"/>
        <v>51413.279018226058</v>
      </c>
      <c r="L65" s="9">
        <f t="shared" si="72"/>
        <v>48324.113148255645</v>
      </c>
      <c r="M65">
        <v>83</v>
      </c>
      <c r="O65">
        <v>83</v>
      </c>
      <c r="P65">
        <f t="shared" si="0"/>
        <v>0.68790806054312359</v>
      </c>
      <c r="Q65">
        <f t="shared" si="1"/>
        <v>0.49947060270513643</v>
      </c>
      <c r="R65">
        <f t="shared" si="2"/>
        <v>0.68425219492208034</v>
      </c>
      <c r="S65" s="3">
        <f t="shared" si="3"/>
        <v>0.49389059209519121</v>
      </c>
      <c r="T65">
        <f t="shared" si="4"/>
        <v>0.70065856963383499</v>
      </c>
      <c r="U65">
        <f t="shared" si="5"/>
        <v>0.51570631336384032</v>
      </c>
      <c r="W65">
        <v>83</v>
      </c>
      <c r="X65" s="4">
        <f t="shared" si="75"/>
        <v>6.6307039066363131</v>
      </c>
      <c r="Y65" s="4">
        <f t="shared" si="10"/>
        <v>6.2861700376894651</v>
      </c>
      <c r="Z65" s="4">
        <f t="shared" si="11"/>
        <v>0.51309444444629326</v>
      </c>
      <c r="AA65" s="5">
        <f t="shared" si="12"/>
        <v>0.40202292309326776</v>
      </c>
      <c r="AB65" s="4">
        <f t="shared" si="13"/>
        <v>0.19879142741252948</v>
      </c>
      <c r="AC65">
        <f t="shared" si="14"/>
        <v>0.12204069197883767</v>
      </c>
      <c r="AD65">
        <f t="shared" si="15"/>
        <v>6.3339373725802162E-3</v>
      </c>
      <c r="AE65">
        <f t="shared" si="16"/>
        <v>2.3871943809017299E-3</v>
      </c>
    </row>
    <row r="66" spans="4:31" x14ac:dyDescent="0.25">
      <c r="D66">
        <v>84</v>
      </c>
      <c r="E66" s="6">
        <f t="shared" si="6"/>
        <v>7.585459597640587E-2</v>
      </c>
      <c r="F66" s="6">
        <f t="shared" si="7"/>
        <v>6.5217414374023508E-2</v>
      </c>
      <c r="G66" s="5">
        <f t="shared" si="8"/>
        <v>7.9103274074174057E-2</v>
      </c>
      <c r="I66">
        <v>82</v>
      </c>
      <c r="J66" s="9">
        <f t="shared" si="73"/>
        <v>50912.425165847941</v>
      </c>
      <c r="K66" s="9">
        <f t="shared" si="74"/>
        <v>48150.800909092228</v>
      </c>
      <c r="L66" s="9">
        <f t="shared" si="72"/>
        <v>44979.024483210735</v>
      </c>
      <c r="M66">
        <v>84</v>
      </c>
      <c r="O66">
        <v>84</v>
      </c>
      <c r="P66">
        <f t="shared" ref="P66:P88" si="79">P67*(1-VLOOKUP(O66,$D$2:$G$102,2))*(1+$B$6)^(-1) + (1+$B$6)^(-1)*VLOOKUP(O66,$D$2:$G$102,2)</f>
        <v>0.70165118071163246</v>
      </c>
      <c r="Q66">
        <f t="shared" ref="Q66:Q96" si="80">Q67*(1-VLOOKUP(O66,$D$2:$G$102,2))*(1+$B$6)^(-2) + (1+$B$6)^(-2)*VLOOKUP(O66,$D$2:$G$102,2)</f>
        <v>0.51724940899336769</v>
      </c>
      <c r="R66">
        <f t="shared" ref="R66:R85" si="81">(1+$B$6)^(-1)*VLOOKUP(O66,$D$2:$G$102,3) + (1+$B$6)^(-2)*VLOOKUP(O66,$D$2:$G$102,4)*(1-VLOOKUP(O66,$D$2:$G$102,3)) + (1+$B$6)^(-2)*(1-VLOOKUP(O66,$D$2:$G$102,3))*(1-VLOOKUP(O66,$D$2:$G$102,4))*P68</f>
        <v>0.69784543936818144</v>
      </c>
      <c r="S66" s="3">
        <f t="shared" ref="S66:S98" si="82">(1+$B$6)^(-2)*VLOOKUP(O66,$D$2:$G$102,3) + (1+$B$6)^(-4)*VLOOKUP(O66,$D$2:$G$102,4)*(1-VLOOKUP(O66,$D$2:$G$102,3)) + (1+$B$6)^(-4)*(1-VLOOKUP(O66,$D$2:$G$102,3))*(1-VLOOKUP(O66,$D$2:$G$102,4))*Q68</f>
        <v>0.51138934335816733</v>
      </c>
      <c r="T66">
        <f t="shared" ref="T66:T98" si="83">(1+$B$6)^(-1)*VLOOKUP(O66,$D$2:$G$102,4) + (1+$B$6)^(-1)*(1-VLOOKUP(O66,$D$2:$G$102,4))*P68</f>
        <v>0.71409149809478156</v>
      </c>
      <c r="U66">
        <f t="shared" ref="U66:U98" si="84">(1+$B$6)^(-2)*VLOOKUP(O66,$D$2:$G$102,4) + (1+$B$6)^(-2)*(1-VLOOKUP(O66,$D$2:$G$102,4))*Q68</f>
        <v>0.53337465240056425</v>
      </c>
      <c r="W66">
        <v>84</v>
      </c>
      <c r="X66" s="4">
        <f t="shared" si="75"/>
        <v>6.3452457732681902</v>
      </c>
      <c r="Y66" s="4">
        <f t="shared" si="10"/>
        <v>6.004078540009588</v>
      </c>
      <c r="Z66" s="4">
        <f t="shared" si="11"/>
        <v>0.49187821285320249</v>
      </c>
      <c r="AA66" s="5">
        <f t="shared" si="12"/>
        <v>0.38539945048622648</v>
      </c>
      <c r="AB66" s="4">
        <f t="shared" si="13"/>
        <v>0.17763166318474585</v>
      </c>
      <c r="AC66">
        <f t="shared" si="14"/>
        <v>0.10905043227760364</v>
      </c>
      <c r="AD66">
        <f t="shared" si="15"/>
        <v>4.211229889785683E-3</v>
      </c>
      <c r="AE66">
        <f t="shared" si="16"/>
        <v>1.5871682554206494E-3</v>
      </c>
    </row>
    <row r="67" spans="4:31" x14ac:dyDescent="0.25">
      <c r="D67">
        <v>85</v>
      </c>
      <c r="E67" s="6">
        <f t="shared" ref="E67:E102" si="85">1 - EXP(-(($B$2 * 1) + ($B$3/ LN($B$4)) * ($B$4 ^ D67) * ($B$4 ^ 1 - 1)))</f>
        <v>8.3095945219489264E-2</v>
      </c>
      <c r="F67" s="6">
        <f t="shared" ref="F67:F102" si="86">1-EXP(0.9^(2-1)* (($B$2*(1 - 0.9^1)/LN(0.9)) + ($B$3*$B$4^D67*($B$4^1 - 0.9^1)/LN(0.9/$B$4))))</f>
        <v>7.1483050276572424E-2</v>
      </c>
      <c r="G67" s="5">
        <f t="shared" ref="G67:G102" si="87">1-EXP(0.9^(1-1)*( ($B$2/LN(0.9)*(1-0.9^1)) + ($B$3*$B$4^(D67+1)/LN(0.9/$B$4)*($B$4^1 - 0.9^1))))</f>
        <v>8.6641888291115965E-2</v>
      </c>
      <c r="I67">
        <v>83</v>
      </c>
      <c r="J67" s="9">
        <f t="shared" si="73"/>
        <v>47635.226888540215</v>
      </c>
      <c r="K67" s="9">
        <f t="shared" si="74"/>
        <v>44801.659731283165</v>
      </c>
      <c r="L67" s="9">
        <f t="shared" si="72"/>
        <v>41567.158753623917</v>
      </c>
      <c r="M67">
        <v>85</v>
      </c>
      <c r="O67">
        <v>85</v>
      </c>
      <c r="P67">
        <f t="shared" si="79"/>
        <v>0.71512463395201331</v>
      </c>
      <c r="Q67">
        <f t="shared" si="80"/>
        <v>0.53499468296458608</v>
      </c>
      <c r="R67">
        <f t="shared" si="81"/>
        <v>0.71117058082053441</v>
      </c>
      <c r="S67" s="3">
        <f t="shared" si="82"/>
        <v>0.5288532093455478</v>
      </c>
      <c r="T67">
        <f t="shared" si="83"/>
        <v>0.72723073045260045</v>
      </c>
      <c r="U67">
        <f t="shared" si="84"/>
        <v>0.55096206179033669</v>
      </c>
      <c r="W67">
        <v>85</v>
      </c>
      <c r="X67" s="4">
        <f t="shared" si="75"/>
        <v>6.0654178027687777</v>
      </c>
      <c r="Y67" s="4">
        <f t="shared" ref="Y67:Y99" si="88">(1-VLOOKUP(W67,$O$2:$U$102,6))/($B$6/(1+$B$6))</f>
        <v>5.7281546604953908</v>
      </c>
      <c r="Z67" s="4">
        <f t="shared" ref="Z67:Z99" si="89">(1+$B$6)^(-5)*(1-VLOOKUP(W67,$D$2:$G$102,3))*(1-VLOOKUP(W67,$D$2:$G$102,4))* EXP(-(($B$2 * 3) + ($B$3/ LN($B$4)) * ($B$4 ^ W69) * ($B$4 ^ 3 - 1)))</f>
        <v>0.4695522089286544</v>
      </c>
      <c r="AA67" s="5">
        <f t="shared" ref="AA67:AA99" si="90">(1+$B$6)^(-10)*(1-VLOOKUP(W67,$D$2:$G$102,3))*(1-VLOOKUP(W67,$D$2:$G$102,4))* EXP(-(($B$2 * 3) + ($B$3/ LN($B$4)) * ($B$4 ^ W69) * ($B$4 ^ 3 - 1)))</f>
        <v>0.36790644221866547</v>
      </c>
      <c r="AB67" s="4">
        <f t="shared" ref="AB67:AB94" si="91">(1+$B$6)^(-10)*(1-VLOOKUP(W67,$D$2:$G$102,3))*(1-VLOOKUP(W67,$D$2:$G$102,4))* EXP(-(($B$2 * 8) + ($B$3/ LN($B$4)) * ($B$4 ^ W69) * ($B$4 ^ 8 - 1)))</f>
        <v>0.15694785521306578</v>
      </c>
      <c r="AC67">
        <f t="shared" ref="AC67:AC94" si="92">(1+$B$6)^(-20)*(1-VLOOKUP(W67,$D$2:$G$102,3))*(1-VLOOKUP(W67,$D$2:$G$102,4))* EXP(-(($B$2 * 8) + ($B$3/ LN($B$4)) * ($B$4 ^ W69) * ($B$4 ^ 8 - 1)))</f>
        <v>9.6352368430097243E-2</v>
      </c>
      <c r="AD67">
        <f t="shared" ref="AD67:AD89" si="93">(1+$B$6)^(-20)*(1-VLOOKUP(W67,$D$2:$G$102,3))*(1-VLOOKUP(W67,$D$2:$G$102,4))* EXP(-(($B$2 * 18) + ($B$3/ LN($B$4)) * ($B$4 ^ W69) * ($B$4 ^ 18 - 1)))</f>
        <v>2.6879281386118299E-3</v>
      </c>
      <c r="AE67">
        <f t="shared" ref="AE67:AE89" si="94">(1+$B$6)^(-40)*(1-VLOOKUP(W67,$D$2:$G$102,3))*(1-VLOOKUP(W67,$D$2:$G$102,4))* EXP(-(($B$2 * 18) + ($B$3/ LN($B$4)) * ($B$4 ^ W69) * ($B$4 ^ 18 - 1)))</f>
        <v>1.0130518461611998E-3</v>
      </c>
    </row>
    <row r="68" spans="4:31" x14ac:dyDescent="0.25">
      <c r="D68">
        <v>86</v>
      </c>
      <c r="E68" s="6">
        <f t="shared" si="85"/>
        <v>9.0995910424008231E-2</v>
      </c>
      <c r="F68" s="6">
        <f t="shared" si="86"/>
        <v>7.8326753929000459E-2</v>
      </c>
      <c r="G68" s="5">
        <f t="shared" si="87"/>
        <v>9.4863105647088219E-2</v>
      </c>
      <c r="I68">
        <v>84</v>
      </c>
      <c r="J68" s="9">
        <f t="shared" si="73"/>
        <v>44274.400704190855</v>
      </c>
      <c r="K68" s="9">
        <f t="shared" si="74"/>
        <v>41386.938767304084</v>
      </c>
      <c r="L68" s="9">
        <f t="shared" ref="L68:L102" si="95">L67*(1-VLOOKUP(M67,D67:G167,2))</f>
        <v>38113.096406902972</v>
      </c>
      <c r="M68">
        <v>86</v>
      </c>
      <c r="O68">
        <v>86</v>
      </c>
      <c r="P68">
        <f t="shared" si="79"/>
        <v>0.7283040324104354</v>
      </c>
      <c r="Q68">
        <f t="shared" si="80"/>
        <v>0.55265945232434355</v>
      </c>
      <c r="R68">
        <f t="shared" si="81"/>
        <v>0.72420410469311225</v>
      </c>
      <c r="S68" s="3">
        <f t="shared" si="82"/>
        <v>0.54623677070955545</v>
      </c>
      <c r="T68">
        <f t="shared" si="83"/>
        <v>0.74005354815976065</v>
      </c>
      <c r="U68">
        <f t="shared" si="84"/>
        <v>0.56842193045270051</v>
      </c>
      <c r="W68">
        <v>86</v>
      </c>
      <c r="X68" s="4">
        <f t="shared" si="75"/>
        <v>5.7917138014446428</v>
      </c>
      <c r="Y68" s="4">
        <f t="shared" si="88"/>
        <v>5.4588754886450266</v>
      </c>
      <c r="Z68" s="4">
        <f t="shared" si="89"/>
        <v>0.44616224792148951</v>
      </c>
      <c r="AA68" s="5">
        <f t="shared" si="90"/>
        <v>0.34957979573687487</v>
      </c>
      <c r="AB68" s="4">
        <f t="shared" si="91"/>
        <v>0.13696635190576309</v>
      </c>
      <c r="AC68">
        <f t="shared" si="92"/>
        <v>8.4085458724075593E-2</v>
      </c>
      <c r="AD68">
        <f t="shared" si="93"/>
        <v>1.6403148919942516E-3</v>
      </c>
      <c r="AE68">
        <f t="shared" si="94"/>
        <v>6.1821743139259537E-4</v>
      </c>
    </row>
    <row r="69" spans="4:31" x14ac:dyDescent="0.25">
      <c r="D69">
        <v>87</v>
      </c>
      <c r="E69" s="6">
        <f t="shared" si="85"/>
        <v>9.9607279222734157E-2</v>
      </c>
      <c r="F69" s="6">
        <f t="shared" si="86"/>
        <v>8.5796581739803757E-2</v>
      </c>
      <c r="G69" s="5">
        <f t="shared" si="87"/>
        <v>0.10382100054290078</v>
      </c>
      <c r="I69">
        <v>85</v>
      </c>
      <c r="J69" s="9">
        <f t="shared" ref="J69:J102" si="96">L69/((1-VLOOKUP(I69,D67:G167,3))*(1-VLOOKUP(I69,D67:G167,4)))</f>
        <v>40851.606910325376</v>
      </c>
      <c r="K69" s="9">
        <f t="shared" ref="K69:K102" si="97">L69/(1-VLOOKUP(I69,D67:G167,4))</f>
        <v>37931.409439675808</v>
      </c>
      <c r="L69" s="9">
        <f t="shared" si="95"/>
        <v>34644.960500278838</v>
      </c>
      <c r="M69">
        <v>87</v>
      </c>
      <c r="O69">
        <v>87</v>
      </c>
      <c r="P69">
        <f t="shared" si="79"/>
        <v>0.74116643844936902</v>
      </c>
      <c r="Q69">
        <f t="shared" si="80"/>
        <v>0.5701967039613085</v>
      </c>
      <c r="R69">
        <f t="shared" si="81"/>
        <v>0.73692399462929359</v>
      </c>
      <c r="S69" s="3">
        <f t="shared" si="82"/>
        <v>0.56349470256827672</v>
      </c>
      <c r="T69">
        <f t="shared" si="83"/>
        <v>0.75253887579005618</v>
      </c>
      <c r="U69">
        <f t="shared" si="84"/>
        <v>0.58570807890954768</v>
      </c>
      <c r="W69">
        <v>87</v>
      </c>
      <c r="X69" s="4">
        <f t="shared" si="75"/>
        <v>5.5245961127848346</v>
      </c>
      <c r="Y69" s="4">
        <f t="shared" si="88"/>
        <v>5.1966836084088204</v>
      </c>
      <c r="Z69" s="4">
        <f t="shared" si="89"/>
        <v>0.42177675816806348</v>
      </c>
      <c r="AA69" s="5">
        <f t="shared" si="90"/>
        <v>0.33047312643291715</v>
      </c>
      <c r="AB69" s="4">
        <f t="shared" si="91"/>
        <v>0.11791206415488234</v>
      </c>
      <c r="AC69">
        <f t="shared" si="92"/>
        <v>7.238777893703055E-2</v>
      </c>
      <c r="AD69">
        <f t="shared" si="93"/>
        <v>9.52769309356516E-4</v>
      </c>
      <c r="AE69">
        <f t="shared" si="94"/>
        <v>3.5908873230064333E-4</v>
      </c>
    </row>
    <row r="70" spans="4:31" x14ac:dyDescent="0.25">
      <c r="D70">
        <v>88</v>
      </c>
      <c r="E70" s="6">
        <f t="shared" si="85"/>
        <v>0.10898559093846938</v>
      </c>
      <c r="F70" s="6">
        <f t="shared" si="86"/>
        <v>9.3943487269296799E-2</v>
      </c>
      <c r="G70" s="5">
        <f t="shared" si="87"/>
        <v>0.11357232357290115</v>
      </c>
      <c r="I70">
        <v>86</v>
      </c>
      <c r="J70" s="9">
        <f t="shared" si="96"/>
        <v>37392.180981771737</v>
      </c>
      <c r="K70" s="9">
        <f t="shared" si="97"/>
        <v>34463.372823143851</v>
      </c>
      <c r="L70" s="9">
        <f t="shared" si="95"/>
        <v>31194.070246066967</v>
      </c>
      <c r="M70">
        <v>88</v>
      </c>
      <c r="O70">
        <v>88</v>
      </c>
      <c r="P70">
        <f t="shared" si="79"/>
        <v>0.75369054579126926</v>
      </c>
      <c r="Q70">
        <f t="shared" si="80"/>
        <v>0.58755982216062164</v>
      </c>
      <c r="R70">
        <f t="shared" si="81"/>
        <v>0.74930990887454763</v>
      </c>
      <c r="S70" s="3">
        <f t="shared" si="82"/>
        <v>0.58058220620248224</v>
      </c>
      <c r="T70">
        <f t="shared" si="83"/>
        <v>0.76466744327116909</v>
      </c>
      <c r="U70">
        <f t="shared" si="84"/>
        <v>0.60277519933380275</v>
      </c>
      <c r="W70">
        <v>88</v>
      </c>
      <c r="X70" s="4">
        <f t="shared" si="75"/>
        <v>5.2644919136345001</v>
      </c>
      <c r="Y70" s="4">
        <f t="shared" si="88"/>
        <v>4.9419836913054498</v>
      </c>
      <c r="Z70" s="4">
        <f t="shared" si="89"/>
        <v>0.39648928191595723</v>
      </c>
      <c r="AA70" s="5">
        <f t="shared" si="90"/>
        <v>0.31065972710544204</v>
      </c>
      <c r="AB70" s="4">
        <f t="shared" si="91"/>
        <v>9.9999316400076754E-2</v>
      </c>
      <c r="AC70">
        <f t="shared" si="92"/>
        <v>6.1390905683022912E-2</v>
      </c>
      <c r="AD70">
        <f t="shared" si="93"/>
        <v>5.2414849575534237E-4</v>
      </c>
      <c r="AE70">
        <f t="shared" si="94"/>
        <v>1.9754605551389223E-4</v>
      </c>
    </row>
    <row r="71" spans="4:31" x14ac:dyDescent="0.25">
      <c r="D71">
        <v>89</v>
      </c>
      <c r="E71" s="6">
        <f t="shared" si="85"/>
        <v>0.11918894964974269</v>
      </c>
      <c r="F71" s="6">
        <f t="shared" si="86"/>
        <v>0.10282125417166743</v>
      </c>
      <c r="G71" s="5">
        <f t="shared" si="87"/>
        <v>0.12417627318398972</v>
      </c>
      <c r="I71">
        <v>87</v>
      </c>
      <c r="J71" s="9">
        <f t="shared" si="96"/>
        <v>33924.9463564326</v>
      </c>
      <c r="K71" s="9">
        <f t="shared" si="97"/>
        <v>31014.301923344468</v>
      </c>
      <c r="L71" s="9">
        <f t="shared" si="95"/>
        <v>27794.366066523235</v>
      </c>
      <c r="M71">
        <v>89</v>
      </c>
      <c r="O71">
        <v>89</v>
      </c>
      <c r="P71">
        <f t="shared" si="79"/>
        <v>0.76585684272053078</v>
      </c>
      <c r="Q71">
        <f t="shared" si="80"/>
        <v>0.60470303006784287</v>
      </c>
      <c r="R71">
        <f t="shared" si="81"/>
        <v>0.76134333794210096</v>
      </c>
      <c r="S71" s="3">
        <f t="shared" si="82"/>
        <v>0.59745544172107046</v>
      </c>
      <c r="T71">
        <f t="shared" si="83"/>
        <v>0.77642192696440104</v>
      </c>
      <c r="U71">
        <f t="shared" si="84"/>
        <v>0.61957928998038736</v>
      </c>
      <c r="W71">
        <v>89</v>
      </c>
      <c r="X71" s="4">
        <f t="shared" ref="X71:X99" si="98">(1-VLOOKUP(W71,O71:U171,4))/($B$6/(1+$B$6))</f>
        <v>5.0117899032158801</v>
      </c>
      <c r="Y71" s="4">
        <f t="shared" si="88"/>
        <v>4.6951395337475788</v>
      </c>
      <c r="Z71" s="4">
        <f t="shared" si="89"/>
        <v>0.37042060762522533</v>
      </c>
      <c r="AA71" s="5">
        <f t="shared" si="90"/>
        <v>0.29023423867351</v>
      </c>
      <c r="AB71" s="4">
        <f t="shared" si="91"/>
        <v>8.3421827399404555E-2</v>
      </c>
      <c r="AC71">
        <f t="shared" si="92"/>
        <v>5.1213765475084105E-2</v>
      </c>
      <c r="AD71">
        <f t="shared" si="93"/>
        <v>2.7162365371959487E-4</v>
      </c>
      <c r="AE71">
        <f t="shared" si="94"/>
        <v>1.0237209838645312E-4</v>
      </c>
    </row>
    <row r="72" spans="4:31" x14ac:dyDescent="0.25">
      <c r="D72">
        <v>90</v>
      </c>
      <c r="E72" s="6">
        <f t="shared" si="85"/>
        <v>0.1302777425608066</v>
      </c>
      <c r="F72" s="6">
        <f t="shared" si="86"/>
        <v>0.11248636116665034</v>
      </c>
      <c r="G72" s="5">
        <f t="shared" si="87"/>
        <v>0.13569416406947987</v>
      </c>
      <c r="I72">
        <v>88</v>
      </c>
      <c r="J72" s="9">
        <f t="shared" si="96"/>
        <v>30481.822785734141</v>
      </c>
      <c r="K72" s="9">
        <f t="shared" si="97"/>
        <v>27618.254054917568</v>
      </c>
      <c r="L72" s="9">
        <f t="shared" si="95"/>
        <v>24481.58476887388</v>
      </c>
      <c r="M72">
        <v>90</v>
      </c>
      <c r="O72">
        <v>90</v>
      </c>
      <c r="P72">
        <f t="shared" si="79"/>
        <v>0.77764775423110077</v>
      </c>
      <c r="Q72">
        <f t="shared" si="80"/>
        <v>0.6215818259572703</v>
      </c>
      <c r="R72">
        <f t="shared" si="81"/>
        <v>0.77300774048378118</v>
      </c>
      <c r="S72" s="3">
        <f t="shared" si="82"/>
        <v>0.61407195321526098</v>
      </c>
      <c r="T72">
        <f t="shared" si="83"/>
        <v>0.78778706686738009</v>
      </c>
      <c r="U72">
        <f t="shared" si="84"/>
        <v>0.63607807536936045</v>
      </c>
      <c r="W72">
        <v>90</v>
      </c>
      <c r="X72" s="4">
        <f t="shared" si="98"/>
        <v>4.7668374498405957</v>
      </c>
      <c r="Y72" s="4">
        <f t="shared" si="88"/>
        <v>4.4564715957850183</v>
      </c>
      <c r="Z72" s="4">
        <f t="shared" si="89"/>
        <v>0.34372031146045828</v>
      </c>
      <c r="AA72" s="5">
        <f t="shared" si="90"/>
        <v>0.26931385797595764</v>
      </c>
      <c r="AB72" s="4">
        <f t="shared" si="91"/>
        <v>6.8342464171856826E-2</v>
      </c>
      <c r="AC72">
        <f t="shared" si="92"/>
        <v>4.1956344534737393E-2</v>
      </c>
      <c r="AD72">
        <f t="shared" si="93"/>
        <v>1.318050815373052E-4</v>
      </c>
      <c r="AE72">
        <f t="shared" si="94"/>
        <v>4.9675949020628644E-5</v>
      </c>
    </row>
    <row r="73" spans="4:31" x14ac:dyDescent="0.25">
      <c r="D73">
        <v>91</v>
      </c>
      <c r="E73" s="6">
        <f t="shared" si="85"/>
        <v>0.14231424447959284</v>
      </c>
      <c r="F73" s="6">
        <f t="shared" si="86"/>
        <v>0.12299776349588742</v>
      </c>
      <c r="G73" s="5">
        <f t="shared" si="87"/>
        <v>0.1481889720703603</v>
      </c>
      <c r="I73">
        <v>89</v>
      </c>
      <c r="J73" s="9">
        <f t="shared" si="96"/>
        <v>27097.200762864741</v>
      </c>
      <c r="K73" s="9">
        <f t="shared" si="97"/>
        <v>24311.032595885525</v>
      </c>
      <c r="L73" s="9">
        <f t="shared" si="95"/>
        <v>21292.179170873966</v>
      </c>
      <c r="M73">
        <v>91</v>
      </c>
      <c r="O73">
        <v>91</v>
      </c>
      <c r="P73">
        <f t="shared" si="79"/>
        <v>0.78904776037633895</v>
      </c>
      <c r="Q73">
        <f t="shared" si="80"/>
        <v>0.63815340565305445</v>
      </c>
      <c r="R73">
        <f t="shared" si="81"/>
        <v>0.78428865465199371</v>
      </c>
      <c r="S73" s="3">
        <f t="shared" si="82"/>
        <v>0.63039107775107617</v>
      </c>
      <c r="T73">
        <f t="shared" si="83"/>
        <v>0.798749757675699</v>
      </c>
      <c r="U73">
        <f t="shared" si="84"/>
        <v>0.65223140365616572</v>
      </c>
      <c r="W73">
        <v>91</v>
      </c>
      <c r="X73" s="4">
        <f t="shared" si="98"/>
        <v>4.5299382523081322</v>
      </c>
      <c r="Y73" s="4">
        <f t="shared" si="88"/>
        <v>4.226255088810321</v>
      </c>
      <c r="Z73" s="4">
        <f t="shared" si="89"/>
        <v>0.31656745091769223</v>
      </c>
      <c r="AA73" s="5">
        <f t="shared" si="90"/>
        <v>0.2480388812462315</v>
      </c>
      <c r="AB73" s="4">
        <f t="shared" si="91"/>
        <v>5.4883609032278187E-2</v>
      </c>
      <c r="AC73">
        <f t="shared" si="92"/>
        <v>3.3693774987064898E-2</v>
      </c>
      <c r="AD73">
        <f t="shared" si="93"/>
        <v>5.9496741105101279E-5</v>
      </c>
      <c r="AE73">
        <f t="shared" si="94"/>
        <v>2.2423695987730422E-5</v>
      </c>
    </row>
    <row r="74" spans="4:31" x14ac:dyDescent="0.25">
      <c r="D74">
        <v>92</v>
      </c>
      <c r="E74" s="6">
        <f t="shared" si="85"/>
        <v>0.15536208699317144</v>
      </c>
      <c r="F74" s="6">
        <f t="shared" si="86"/>
        <v>0.13441657311456223</v>
      </c>
      <c r="G74" s="5">
        <f t="shared" si="87"/>
        <v>0.16172473319742153</v>
      </c>
      <c r="I74">
        <v>90</v>
      </c>
      <c r="J74" s="9">
        <f t="shared" si="96"/>
        <v>23807.063382364831</v>
      </c>
      <c r="K74" s="9">
        <f t="shared" si="97"/>
        <v>21129.093452418805</v>
      </c>
      <c r="L74" s="9">
        <f t="shared" si="95"/>
        <v>18261.998778846915</v>
      </c>
      <c r="M74">
        <v>92</v>
      </c>
      <c r="O74">
        <v>92</v>
      </c>
      <c r="P74">
        <f t="shared" si="79"/>
        <v>0.80004348853761098</v>
      </c>
      <c r="Q74">
        <f t="shared" si="80"/>
        <v>0.65437706250858418</v>
      </c>
      <c r="R74">
        <f t="shared" si="81"/>
        <v>0.79517378269996053</v>
      </c>
      <c r="S74" s="3">
        <f t="shared" si="82"/>
        <v>0.64637432963894803</v>
      </c>
      <c r="T74">
        <f t="shared" si="83"/>
        <v>0.80929911197700366</v>
      </c>
      <c r="U74">
        <f t="shared" si="84"/>
        <v>0.66800161296168825</v>
      </c>
      <c r="W74">
        <v>92</v>
      </c>
      <c r="X74" s="4">
        <f t="shared" si="98"/>
        <v>4.3013505633008293</v>
      </c>
      <c r="Y74" s="4">
        <f t="shared" si="88"/>
        <v>4.0047186484829238</v>
      </c>
      <c r="Z74" s="4">
        <f t="shared" si="89"/>
        <v>0.28917012849711016</v>
      </c>
      <c r="AA74" s="5">
        <f t="shared" si="90"/>
        <v>0.22657236223853239</v>
      </c>
      <c r="AB74" s="4">
        <f t="shared" si="91"/>
        <v>4.3119120396872233E-2</v>
      </c>
      <c r="AC74">
        <f t="shared" si="92"/>
        <v>2.6471399492659548E-2</v>
      </c>
      <c r="AD74">
        <f t="shared" si="93"/>
        <v>2.4803347887616155E-5</v>
      </c>
      <c r="AE74">
        <f t="shared" si="94"/>
        <v>9.3481209588827849E-6</v>
      </c>
    </row>
    <row r="75" spans="4:31" x14ac:dyDescent="0.25">
      <c r="D75">
        <v>93</v>
      </c>
      <c r="E75" s="6">
        <f t="shared" si="85"/>
        <v>0.16948556887895894</v>
      </c>
      <c r="F75" s="6">
        <f t="shared" si="86"/>
        <v>0.14680561762527511</v>
      </c>
      <c r="G75" s="5">
        <f t="shared" si="87"/>
        <v>0.17636577247198126</v>
      </c>
      <c r="I75">
        <v>91</v>
      </c>
      <c r="J75" s="9">
        <f t="shared" si="96"/>
        <v>20647.854050709</v>
      </c>
      <c r="K75" s="9">
        <f t="shared" si="97"/>
        <v>18108.214181482293</v>
      </c>
      <c r="L75" s="9">
        <f t="shared" si="95"/>
        <v>15424.776535898511</v>
      </c>
      <c r="M75">
        <v>93</v>
      </c>
      <c r="O75">
        <v>93</v>
      </c>
      <c r="P75">
        <f t="shared" si="79"/>
        <v>0.8106237778670311</v>
      </c>
      <c r="Q75">
        <f t="shared" si="80"/>
        <v>0.67021455668183594</v>
      </c>
      <c r="R75">
        <f t="shared" si="81"/>
        <v>0.80565304710397678</v>
      </c>
      <c r="S75" s="3">
        <f t="shared" si="82"/>
        <v>0.66198575177949248</v>
      </c>
      <c r="T75">
        <f t="shared" si="83"/>
        <v>0.81942649445017213</v>
      </c>
      <c r="U75">
        <f t="shared" si="84"/>
        <v>0.68335385904538892</v>
      </c>
      <c r="W75">
        <v>93</v>
      </c>
      <c r="X75" s="4">
        <f t="shared" si="98"/>
        <v>4.0812860108164877</v>
      </c>
      <c r="Y75" s="4">
        <f t="shared" si="88"/>
        <v>3.7920436165463856</v>
      </c>
      <c r="Z75" s="4">
        <f t="shared" si="89"/>
        <v>0.26176363545032194</v>
      </c>
      <c r="AA75" s="5">
        <f t="shared" si="90"/>
        <v>0.20509865780523792</v>
      </c>
      <c r="AB75" s="4">
        <f t="shared" si="91"/>
        <v>3.3068907476532634E-2</v>
      </c>
      <c r="AC75">
        <f t="shared" si="92"/>
        <v>2.0301440579956493E-2</v>
      </c>
      <c r="AD75">
        <f t="shared" si="93"/>
        <v>9.4739075799528965E-6</v>
      </c>
      <c r="AE75">
        <f t="shared" si="94"/>
        <v>3.5706161285950485E-6</v>
      </c>
    </row>
    <row r="76" spans="4:31" x14ac:dyDescent="0.25">
      <c r="D76">
        <v>94</v>
      </c>
      <c r="E76" s="6">
        <f t="shared" si="85"/>
        <v>0.18474878259231431</v>
      </c>
      <c r="F76" s="6">
        <f t="shared" si="86"/>
        <v>0.16022885578658563</v>
      </c>
      <c r="G76" s="5">
        <f t="shared" si="87"/>
        <v>0.19217573683040945</v>
      </c>
      <c r="I76">
        <v>92</v>
      </c>
      <c r="J76" s="9">
        <f t="shared" si="96"/>
        <v>17655.112087410307</v>
      </c>
      <c r="K76" s="9">
        <f t="shared" si="97"/>
        <v>15281.97242266713</v>
      </c>
      <c r="L76" s="9">
        <f t="shared" si="95"/>
        <v>12810.499509880934</v>
      </c>
      <c r="M76">
        <v>94</v>
      </c>
      <c r="O76">
        <v>94</v>
      </c>
      <c r="P76">
        <f t="shared" si="79"/>
        <v>0.82077971476220579</v>
      </c>
      <c r="Q76">
        <f t="shared" si="80"/>
        <v>0.68563044605274992</v>
      </c>
      <c r="R76">
        <f t="shared" si="81"/>
        <v>0.81571861708805016</v>
      </c>
      <c r="S76" s="3">
        <f t="shared" si="82"/>
        <v>0.6771922265151733</v>
      </c>
      <c r="T76">
        <f t="shared" si="83"/>
        <v>0.82912552658384708</v>
      </c>
      <c r="U76">
        <f t="shared" si="84"/>
        <v>0.69825639757559355</v>
      </c>
      <c r="W76">
        <v>94</v>
      </c>
      <c r="X76" s="4">
        <f t="shared" si="98"/>
        <v>3.8699090411509469</v>
      </c>
      <c r="Y76" s="4">
        <f t="shared" si="88"/>
        <v>3.5883639417392112</v>
      </c>
      <c r="Z76" s="4">
        <f t="shared" si="89"/>
        <v>0.23460690373645071</v>
      </c>
      <c r="AA76" s="5">
        <f t="shared" si="90"/>
        <v>0.183820647911656</v>
      </c>
      <c r="AB76" s="4">
        <f t="shared" si="91"/>
        <v>2.4697033823538085E-2</v>
      </c>
      <c r="AC76">
        <f t="shared" si="92"/>
        <v>1.5161836387414444E-2</v>
      </c>
      <c r="AD76">
        <f t="shared" si="93"/>
        <v>3.286622823367788E-6</v>
      </c>
      <c r="AE76">
        <f t="shared" si="94"/>
        <v>1.2386935762976869E-6</v>
      </c>
    </row>
    <row r="77" spans="4:31" x14ac:dyDescent="0.25">
      <c r="D77">
        <v>95</v>
      </c>
      <c r="E77" s="6">
        <f t="shared" si="85"/>
        <v>0.20121453058435157</v>
      </c>
      <c r="F77" s="6">
        <f t="shared" si="86"/>
        <v>0.17475062547798814</v>
      </c>
      <c r="G77" s="5">
        <f t="shared" si="87"/>
        <v>0.2092164056402771</v>
      </c>
      <c r="I77">
        <v>93</v>
      </c>
      <c r="J77" s="9">
        <f t="shared" si="96"/>
        <v>14861.927785486712</v>
      </c>
      <c r="K77" s="9">
        <f t="shared" si="97"/>
        <v>12680.113297836098</v>
      </c>
      <c r="L77" s="9">
        <f t="shared" si="95"/>
        <v>10443.775321030993</v>
      </c>
      <c r="M77">
        <v>95</v>
      </c>
      <c r="O77">
        <v>95</v>
      </c>
      <c r="P77">
        <f t="shared" si="79"/>
        <v>0.83050463887797787</v>
      </c>
      <c r="Q77">
        <f t="shared" si="80"/>
        <v>0.70059237200159985</v>
      </c>
      <c r="R77">
        <f t="shared" si="81"/>
        <v>0.82536490506954108</v>
      </c>
      <c r="S77" s="3">
        <f t="shared" si="82"/>
        <v>0.69196373930626498</v>
      </c>
      <c r="T77">
        <f t="shared" si="83"/>
        <v>0.83839206209125761</v>
      </c>
      <c r="U77">
        <f t="shared" si="84"/>
        <v>0.71268081535696048</v>
      </c>
      <c r="W77">
        <v>95</v>
      </c>
      <c r="X77" s="4">
        <f t="shared" si="98"/>
        <v>3.6673369935396374</v>
      </c>
      <c r="Y77" s="4">
        <f t="shared" si="88"/>
        <v>3.3937666960835906</v>
      </c>
      <c r="Z77" s="4">
        <f t="shared" si="89"/>
        <v>0.20797704797080382</v>
      </c>
      <c r="AA77" s="5">
        <f t="shared" si="90"/>
        <v>0.16295545910999074</v>
      </c>
      <c r="AB77" s="4">
        <f t="shared" si="91"/>
        <v>1.7913986433052639E-2</v>
      </c>
      <c r="AC77">
        <f t="shared" si="92"/>
        <v>1.0997633695000364E-2</v>
      </c>
      <c r="AD77">
        <f t="shared" si="93"/>
        <v>1.0256345969297291E-6</v>
      </c>
      <c r="AE77">
        <f t="shared" si="94"/>
        <v>3.8655089285350416E-7</v>
      </c>
    </row>
    <row r="78" spans="4:31" x14ac:dyDescent="0.25">
      <c r="D78">
        <v>96</v>
      </c>
      <c r="E78" s="6">
        <f t="shared" si="85"/>
        <v>0.2189430050639215</v>
      </c>
      <c r="F78" s="6">
        <f t="shared" si="86"/>
        <v>0.1904346984892662</v>
      </c>
      <c r="G78" s="5">
        <f t="shared" si="87"/>
        <v>0.2275462528104214</v>
      </c>
      <c r="I78">
        <v>94</v>
      </c>
      <c r="J78" s="9">
        <f t="shared" si="96"/>
        <v>12297.301912095902</v>
      </c>
      <c r="K78" s="9">
        <f t="shared" si="97"/>
        <v>10326.919297458584</v>
      </c>
      <c r="L78" s="9">
        <f t="shared" si="95"/>
        <v>8342.3359722813057</v>
      </c>
      <c r="M78">
        <v>96</v>
      </c>
      <c r="O78">
        <v>96</v>
      </c>
      <c r="P78">
        <f t="shared" si="79"/>
        <v>0.83979411985080343</v>
      </c>
      <c r="Q78">
        <f t="shared" si="80"/>
        <v>0.71507129438053674</v>
      </c>
      <c r="R78">
        <f t="shared" si="81"/>
        <v>0.83458853320395576</v>
      </c>
      <c r="S78" s="3">
        <f t="shared" si="82"/>
        <v>0.70627358967189791</v>
      </c>
      <c r="T78">
        <f t="shared" si="83"/>
        <v>0.84722413385919237</v>
      </c>
      <c r="U78">
        <f t="shared" si="84"/>
        <v>0.7266022061794134</v>
      </c>
      <c r="W78">
        <v>96</v>
      </c>
      <c r="X78" s="4">
        <f t="shared" si="98"/>
        <v>3.473640802716929</v>
      </c>
      <c r="Y78" s="4">
        <f t="shared" si="88"/>
        <v>3.2082931889569601</v>
      </c>
      <c r="Z78" s="4">
        <f t="shared" si="89"/>
        <v>0.18216187731193964</v>
      </c>
      <c r="AA78" s="5">
        <f t="shared" si="90"/>
        <v>0.14272859740692181</v>
      </c>
      <c r="AB78" s="4">
        <f t="shared" si="91"/>
        <v>1.2583296496144919E-2</v>
      </c>
      <c r="AC78">
        <f t="shared" si="92"/>
        <v>7.7250524922163636E-3</v>
      </c>
      <c r="AD78">
        <f t="shared" si="93"/>
        <v>2.8487854136956301E-7</v>
      </c>
      <c r="AE78">
        <f t="shared" si="94"/>
        <v>1.0736772613838934E-7</v>
      </c>
    </row>
    <row r="79" spans="4:31" x14ac:dyDescent="0.25">
      <c r="D79">
        <v>97</v>
      </c>
      <c r="E79" s="6">
        <f t="shared" si="85"/>
        <v>0.23799020605187171</v>
      </c>
      <c r="F79" s="6">
        <f t="shared" si="86"/>
        <v>0.20734311570895447</v>
      </c>
      <c r="G79" s="5">
        <f t="shared" si="87"/>
        <v>0.24721873651593462</v>
      </c>
      <c r="I79">
        <v>95</v>
      </c>
      <c r="J79" s="9">
        <f t="shared" si="96"/>
        <v>9984.5281964330297</v>
      </c>
      <c r="K79" s="9">
        <f t="shared" si="97"/>
        <v>8239.7256490037489</v>
      </c>
      <c r="L79" s="9">
        <f t="shared" si="95"/>
        <v>6515.839865257185</v>
      </c>
      <c r="M79">
        <v>97</v>
      </c>
      <c r="O79">
        <v>97</v>
      </c>
      <c r="P79">
        <f t="shared" si="79"/>
        <v>0.84864590558294517</v>
      </c>
      <c r="Q79">
        <f t="shared" si="80"/>
        <v>0.72904167132799536</v>
      </c>
      <c r="R79">
        <f t="shared" si="81"/>
        <v>0.84338827086668955</v>
      </c>
      <c r="S79" s="3">
        <f t="shared" si="82"/>
        <v>0.72009854515787208</v>
      </c>
      <c r="T79">
        <f t="shared" si="83"/>
        <v>0.85562187390533606</v>
      </c>
      <c r="U79">
        <f t="shared" si="84"/>
        <v>0.73999928840866036</v>
      </c>
      <c r="W79">
        <v>97</v>
      </c>
      <c r="X79" s="4">
        <f t="shared" si="98"/>
        <v>3.2888463117995195</v>
      </c>
      <c r="Y79" s="4">
        <f t="shared" si="88"/>
        <v>3.0319406479879429</v>
      </c>
      <c r="Z79" s="4">
        <f t="shared" si="89"/>
        <v>0.1574504062597924</v>
      </c>
      <c r="AA79" s="5">
        <f t="shared" si="90"/>
        <v>0.1233665132256366</v>
      </c>
      <c r="AB79" s="4">
        <f t="shared" si="91"/>
        <v>8.5321176953891478E-3</v>
      </c>
      <c r="AC79">
        <f t="shared" si="92"/>
        <v>5.237980133969037E-3</v>
      </c>
      <c r="AD79">
        <f t="shared" si="93"/>
        <v>6.9613507976358549E-8</v>
      </c>
      <c r="AE79">
        <f t="shared" si="94"/>
        <v>2.6236599022185282E-8</v>
      </c>
    </row>
    <row r="80" spans="4:31" x14ac:dyDescent="0.25">
      <c r="D80">
        <v>98</v>
      </c>
      <c r="E80" s="6">
        <f t="shared" si="85"/>
        <v>0.25840607571115271</v>
      </c>
      <c r="F80" s="6">
        <f t="shared" si="86"/>
        <v>0.22553477658121501</v>
      </c>
      <c r="G80" s="5">
        <f t="shared" si="87"/>
        <v>0.26828029677707232</v>
      </c>
      <c r="I80">
        <v>96</v>
      </c>
      <c r="J80" s="9">
        <f t="shared" si="96"/>
        <v>7939.7455707057616</v>
      </c>
      <c r="K80" s="9">
        <f t="shared" si="97"/>
        <v>6427.7425168669224</v>
      </c>
      <c r="L80" s="9">
        <f t="shared" si="95"/>
        <v>4965.1337931236276</v>
      </c>
      <c r="M80">
        <v>98</v>
      </c>
      <c r="O80">
        <v>98</v>
      </c>
      <c r="P80">
        <f t="shared" si="79"/>
        <v>0.85705984358342491</v>
      </c>
      <c r="Q80">
        <f t="shared" si="80"/>
        <v>0.74248158105138085</v>
      </c>
      <c r="R80">
        <f t="shared" si="81"/>
        <v>0.8517649445484059</v>
      </c>
      <c r="S80" s="3">
        <f t="shared" si="82"/>
        <v>0.73341893556819748</v>
      </c>
      <c r="T80">
        <f t="shared" si="83"/>
        <v>0.8635874084083357</v>
      </c>
      <c r="U80">
        <f t="shared" si="84"/>
        <v>0.7528544629917342</v>
      </c>
      <c r="W80">
        <v>98</v>
      </c>
      <c r="X80" s="4">
        <f t="shared" si="98"/>
        <v>3.1129361644834761</v>
      </c>
      <c r="Y80" s="4">
        <f t="shared" si="88"/>
        <v>2.8646644234249505</v>
      </c>
      <c r="Z80" s="4">
        <f t="shared" si="89"/>
        <v>0.1341215942219964</v>
      </c>
      <c r="AA80" s="5">
        <f t="shared" si="90"/>
        <v>0.10508777856139906</v>
      </c>
      <c r="AB80" s="4">
        <f t="shared" si="91"/>
        <v>5.5647477968958853E-3</v>
      </c>
      <c r="AC80">
        <f t="shared" si="92"/>
        <v>3.4162724251261254E-3</v>
      </c>
      <c r="AD80">
        <f t="shared" si="93"/>
        <v>1.4775108539773209E-8</v>
      </c>
      <c r="AE80">
        <f t="shared" si="94"/>
        <v>5.5685830169475803E-9</v>
      </c>
    </row>
    <row r="81" spans="4:31" x14ac:dyDescent="0.25">
      <c r="D81">
        <v>99</v>
      </c>
      <c r="E81" s="6">
        <f t="shared" si="85"/>
        <v>0.2802323326037317</v>
      </c>
      <c r="F81" s="6">
        <f t="shared" si="86"/>
        <v>0.2450637585447194</v>
      </c>
      <c r="G81" s="5">
        <f t="shared" si="87"/>
        <v>0.29076804820512536</v>
      </c>
      <c r="I81">
        <v>97</v>
      </c>
      <c r="J81" s="9">
        <f t="shared" si="96"/>
        <v>6170.822890365358</v>
      </c>
      <c r="K81" s="9">
        <f t="shared" si="97"/>
        <v>4891.3452457888679</v>
      </c>
      <c r="L81" s="9">
        <f t="shared" si="95"/>
        <v>3682.1130542617207</v>
      </c>
      <c r="M81">
        <v>99</v>
      </c>
      <c r="O81">
        <v>99</v>
      </c>
      <c r="P81">
        <f t="shared" si="79"/>
        <v>0.86503777746914179</v>
      </c>
      <c r="Q81">
        <f t="shared" si="80"/>
        <v>0.75537278428377097</v>
      </c>
      <c r="R81">
        <f t="shared" si="81"/>
        <v>0.85972132223962516</v>
      </c>
      <c r="S81" s="3">
        <f t="shared" si="82"/>
        <v>0.74621868627625032</v>
      </c>
      <c r="T81">
        <f t="shared" si="83"/>
        <v>0.87112473039995564</v>
      </c>
      <c r="U81">
        <f t="shared" si="84"/>
        <v>0.76515381214357003</v>
      </c>
      <c r="W81">
        <v>99</v>
      </c>
      <c r="X81" s="4">
        <f t="shared" si="98"/>
        <v>2.9458522329678716</v>
      </c>
      <c r="Y81" s="4">
        <f t="shared" si="88"/>
        <v>2.7063806616009316</v>
      </c>
      <c r="Z81" s="4">
        <f t="shared" si="89"/>
        <v>0.11243178884287933</v>
      </c>
      <c r="AA81" s="5">
        <f t="shared" si="90"/>
        <v>8.8093248501252497E-2</v>
      </c>
      <c r="AB81" s="4">
        <f t="shared" si="91"/>
        <v>3.4775469304500171E-3</v>
      </c>
      <c r="AC81">
        <f t="shared" si="92"/>
        <v>2.134912150413251E-3</v>
      </c>
      <c r="AD81">
        <f t="shared" si="93"/>
        <v>2.685663251066114E-9</v>
      </c>
      <c r="AE81">
        <f t="shared" si="94"/>
        <v>1.0121982338653292E-9</v>
      </c>
    </row>
    <row r="82" spans="4:31" x14ac:dyDescent="0.25">
      <c r="D82">
        <v>100</v>
      </c>
      <c r="E82" s="6">
        <f t="shared" si="85"/>
        <v>0.30349999845175812</v>
      </c>
      <c r="F82" s="6">
        <f t="shared" si="86"/>
        <v>0.26597734612517998</v>
      </c>
      <c r="G82" s="5">
        <f t="shared" si="87"/>
        <v>0.31470716592350112</v>
      </c>
      <c r="I82">
        <v>98</v>
      </c>
      <c r="J82" s="9">
        <f t="shared" si="96"/>
        <v>4676.7352168741691</v>
      </c>
      <c r="K82" s="9">
        <f t="shared" si="97"/>
        <v>3621.9687846069532</v>
      </c>
      <c r="L82" s="9">
        <f t="shared" si="95"/>
        <v>2650.2659241553079</v>
      </c>
      <c r="M82">
        <v>100</v>
      </c>
      <c r="O82">
        <v>100</v>
      </c>
      <c r="P82">
        <f t="shared" si="79"/>
        <v>0.87258342127375677</v>
      </c>
      <c r="Q82">
        <f t="shared" si="80"/>
        <v>0.76770072774734743</v>
      </c>
      <c r="R82">
        <f t="shared" si="81"/>
        <v>0.86726197492252921</v>
      </c>
      <c r="S82" s="3">
        <f t="shared" si="82"/>
        <v>0.75848529105992557</v>
      </c>
      <c r="T82">
        <f t="shared" si="83"/>
        <v>0.87823955315337421</v>
      </c>
      <c r="U82">
        <f t="shared" si="84"/>
        <v>0.77688704055398095</v>
      </c>
      <c r="W82">
        <v>100</v>
      </c>
      <c r="X82" s="4">
        <f t="shared" si="98"/>
        <v>2.7874985266268868</v>
      </c>
      <c r="Y82" s="4">
        <f t="shared" si="88"/>
        <v>2.5569693837791418</v>
      </c>
      <c r="Z82" s="4">
        <f t="shared" si="89"/>
        <v>9.2601618091474908E-2</v>
      </c>
      <c r="AA82" s="5">
        <f t="shared" si="90"/>
        <v>7.2555790831989639E-2</v>
      </c>
      <c r="AB82" s="4">
        <f t="shared" si="91"/>
        <v>2.0734008125024884E-3</v>
      </c>
      <c r="AC82">
        <f t="shared" si="92"/>
        <v>1.2728882386974563E-3</v>
      </c>
      <c r="AD82">
        <f t="shared" si="93"/>
        <v>4.1164658881849112E-10</v>
      </c>
      <c r="AE82">
        <f t="shared" si="94"/>
        <v>1.5514526998623587E-10</v>
      </c>
    </row>
    <row r="83" spans="4:31" x14ac:dyDescent="0.25">
      <c r="D83">
        <v>101</v>
      </c>
      <c r="E83" s="6">
        <f t="shared" si="85"/>
        <v>0.32822662296650829</v>
      </c>
      <c r="F83" s="6">
        <f t="shared" si="86"/>
        <v>0.28831375609145815</v>
      </c>
      <c r="G83" s="5">
        <f t="shared" si="87"/>
        <v>0.34010797780900337</v>
      </c>
      <c r="I83">
        <v>99</v>
      </c>
      <c r="J83" s="9">
        <f t="shared" si="96"/>
        <v>3447.561378747132</v>
      </c>
      <c r="K83" s="9">
        <f t="shared" si="97"/>
        <v>2602.6890294577452</v>
      </c>
      <c r="L83" s="9">
        <f t="shared" si="95"/>
        <v>1845.9102202774245</v>
      </c>
      <c r="M83">
        <v>101</v>
      </c>
      <c r="O83">
        <v>101</v>
      </c>
      <c r="P83">
        <f t="shared" si="79"/>
        <v>0.87970221467867149</v>
      </c>
      <c r="Q83">
        <f t="shared" si="80"/>
        <v>0.77945449057129701</v>
      </c>
      <c r="R83">
        <f t="shared" si="81"/>
        <v>0.87439311826131194</v>
      </c>
      <c r="S83" s="3">
        <f t="shared" si="82"/>
        <v>0.77020972652890118</v>
      </c>
      <c r="T83">
        <f t="shared" si="83"/>
        <v>0.88493914765599191</v>
      </c>
      <c r="U83">
        <f t="shared" si="84"/>
        <v>0.7880473624536275</v>
      </c>
      <c r="W83">
        <v>101</v>
      </c>
      <c r="X83" s="4">
        <f t="shared" si="98"/>
        <v>2.6377445165124493</v>
      </c>
      <c r="Y83" s="4">
        <f t="shared" si="88"/>
        <v>2.4162778992241702</v>
      </c>
      <c r="Z83" s="4">
        <f t="shared" si="89"/>
        <v>7.4803337616853399E-2</v>
      </c>
      <c r="AA83" s="5">
        <f t="shared" si="90"/>
        <v>5.8610372361979024E-2</v>
      </c>
      <c r="AB83" s="4">
        <f t="shared" si="91"/>
        <v>1.1739093335154504E-3</v>
      </c>
      <c r="AC83">
        <f t="shared" si="92"/>
        <v>7.2067849830033447E-4</v>
      </c>
      <c r="AD83">
        <f t="shared" si="93"/>
        <v>5.2305189714271809E-11</v>
      </c>
      <c r="AE83">
        <f t="shared" si="94"/>
        <v>1.9713275902986096E-11</v>
      </c>
    </row>
    <row r="84" spans="4:31" x14ac:dyDescent="0.25">
      <c r="D84">
        <v>102</v>
      </c>
      <c r="E84" s="6">
        <f t="shared" si="85"/>
        <v>0.35441323018155857</v>
      </c>
      <c r="F84" s="6">
        <f t="shared" si="86"/>
        <v>0.31209955536062817</v>
      </c>
      <c r="G84" s="5">
        <f t="shared" si="87"/>
        <v>0.36696279659171493</v>
      </c>
      <c r="I84">
        <v>100</v>
      </c>
      <c r="J84" s="9">
        <f t="shared" si="96"/>
        <v>2465.1747379545136</v>
      </c>
      <c r="K84" s="9">
        <f t="shared" si="97"/>
        <v>1809.4941034185363</v>
      </c>
      <c r="L84" s="9">
        <f t="shared" si="95"/>
        <v>1240.0333423764021</v>
      </c>
      <c r="M84">
        <v>102</v>
      </c>
      <c r="O84">
        <v>102</v>
      </c>
      <c r="P84">
        <f t="shared" si="79"/>
        <v>0.88640116265936775</v>
      </c>
      <c r="Q84">
        <f t="shared" si="80"/>
        <v>0.79062667715971013</v>
      </c>
      <c r="R84">
        <f t="shared" si="81"/>
        <v>0.88112243797848677</v>
      </c>
      <c r="S84" s="3">
        <f t="shared" si="82"/>
        <v>0.78138631177999462</v>
      </c>
      <c r="T84">
        <f t="shared" si="83"/>
        <v>0.89123216781490289</v>
      </c>
      <c r="U84">
        <f t="shared" si="84"/>
        <v>0.79863133925552976</v>
      </c>
      <c r="W84">
        <v>102</v>
      </c>
      <c r="X84" s="4">
        <f t="shared" si="98"/>
        <v>2.4964288024517778</v>
      </c>
      <c r="Y84" s="4">
        <f t="shared" si="88"/>
        <v>2.2841244758870394</v>
      </c>
      <c r="Z84" s="4">
        <f t="shared" si="89"/>
        <v>5.9149845740110188E-2</v>
      </c>
      <c r="AA84" s="5">
        <f t="shared" si="90"/>
        <v>4.6345451879949248E-2</v>
      </c>
      <c r="AB84" s="4">
        <f t="shared" si="91"/>
        <v>6.2788625488205559E-4</v>
      </c>
      <c r="AC84">
        <f t="shared" si="92"/>
        <v>3.8546769358816521E-4</v>
      </c>
      <c r="AD84">
        <f t="shared" si="93"/>
        <v>5.4071332036551423E-12</v>
      </c>
      <c r="AE84">
        <f t="shared" si="94"/>
        <v>2.0378916369510179E-12</v>
      </c>
    </row>
    <row r="85" spans="4:31" x14ac:dyDescent="0.25">
      <c r="D85">
        <v>103</v>
      </c>
      <c r="E85" s="6">
        <f t="shared" si="85"/>
        <v>0.38204103326078409</v>
      </c>
      <c r="F85" s="6">
        <f t="shared" si="86"/>
        <v>0.33734678296686893</v>
      </c>
      <c r="G85" s="5">
        <f t="shared" si="87"/>
        <v>0.395242551713754</v>
      </c>
      <c r="I85">
        <v>101</v>
      </c>
      <c r="J85" s="9">
        <f t="shared" si="96"/>
        <v>1704.6158997780904</v>
      </c>
      <c r="K85" s="9">
        <f t="shared" si="97"/>
        <v>1213.1516870198486</v>
      </c>
      <c r="L85" s="9">
        <f t="shared" si="95"/>
        <v>800.54911997194688</v>
      </c>
      <c r="M85">
        <v>103</v>
      </c>
      <c r="O85">
        <v>103</v>
      </c>
      <c r="P85">
        <f t="shared" si="79"/>
        <v>0.89268866332693397</v>
      </c>
      <c r="Q85">
        <f t="shared" si="80"/>
        <v>0.8012132614373263</v>
      </c>
      <c r="R85">
        <f t="shared" si="81"/>
        <v>0.88745890272016648</v>
      </c>
      <c r="S85" s="3">
        <f t="shared" si="82"/>
        <v>0.79201251838355047</v>
      </c>
      <c r="T85">
        <f t="shared" si="83"/>
        <v>0.89712846721090167</v>
      </c>
      <c r="U85">
        <f t="shared" si="84"/>
        <v>0.80863867370948617</v>
      </c>
      <c r="W85">
        <v>103</v>
      </c>
      <c r="X85" s="4">
        <f t="shared" si="98"/>
        <v>2.3633630428765042</v>
      </c>
      <c r="Y85" s="4">
        <f t="shared" si="88"/>
        <v>2.1603021885710652</v>
      </c>
      <c r="Z85" s="4">
        <f t="shared" si="89"/>
        <v>4.5686671725450878E-2</v>
      </c>
      <c r="AA85" s="5">
        <f t="shared" si="90"/>
        <v>3.5796702755745459E-2</v>
      </c>
      <c r="AB85" s="4">
        <f t="shared" si="91"/>
        <v>3.1546562173988431E-4</v>
      </c>
      <c r="AC85">
        <f t="shared" si="92"/>
        <v>1.9366852622259087E-4</v>
      </c>
      <c r="AD85">
        <f t="shared" si="93"/>
        <v>4.4548345986287815E-13</v>
      </c>
      <c r="AE85">
        <f t="shared" si="94"/>
        <v>1.6789803081619529E-13</v>
      </c>
    </row>
    <row r="86" spans="4:31" x14ac:dyDescent="0.25">
      <c r="D86">
        <v>104</v>
      </c>
      <c r="E86" s="6">
        <f t="shared" si="85"/>
        <v>0.41106799454619702</v>
      </c>
      <c r="F86" s="6">
        <f t="shared" si="86"/>
        <v>0.36404980721219304</v>
      </c>
      <c r="G86" s="5">
        <f t="shared" si="87"/>
        <v>0.42489331364021432</v>
      </c>
      <c r="I86">
        <v>102</v>
      </c>
      <c r="J86" s="9">
        <f t="shared" si="96"/>
        <v>1136.0378428153169</v>
      </c>
      <c r="K86" s="9">
        <f t="shared" si="97"/>
        <v>781.48093719980932</v>
      </c>
      <c r="L86" s="9">
        <f t="shared" si="95"/>
        <v>494.70650700185291</v>
      </c>
      <c r="M86">
        <v>104</v>
      </c>
      <c r="O86">
        <v>104</v>
      </c>
      <c r="P86">
        <f t="shared" si="79"/>
        <v>0.89857432794049963</v>
      </c>
      <c r="Q86">
        <f t="shared" si="80"/>
        <v>0.81121338868025483</v>
      </c>
      <c r="R86">
        <f t="shared" ref="R86:R90" si="99">(1+$B$6)^(-1)*VLOOKUP(O86,$D$2:$G$102,3) + (1+$B$6)^(-2)*VLOOKUP(O86,$D$2:$G$102,4)*(1-VLOOKUP(O86,$D$2:$G$102,3)) + (1+$B$6)^(-2)*(1-VLOOKUP(O86,$D$2:$G$102,3))*(1-VLOOKUP(O86,$D$2:$G$102,4))*P88</f>
        <v>0.8934125684500801</v>
      </c>
      <c r="S86" s="3">
        <f t="shared" si="82"/>
        <v>0.80208873713325812</v>
      </c>
      <c r="T86">
        <f t="shared" si="83"/>
        <v>0.90263891130216989</v>
      </c>
      <c r="U86">
        <f t="shared" si="84"/>
        <v>0.8180719675492153</v>
      </c>
      <c r="W86">
        <v>104</v>
      </c>
      <c r="X86" s="4">
        <f t="shared" si="98"/>
        <v>2.238336062548318</v>
      </c>
      <c r="Y86" s="4">
        <f t="shared" si="88"/>
        <v>2.0445828626544325</v>
      </c>
      <c r="Z86" s="4">
        <f t="shared" si="89"/>
        <v>3.4388166101993259E-2</v>
      </c>
      <c r="AA86" s="5">
        <f t="shared" si="90"/>
        <v>2.6944027957775393E-2</v>
      </c>
      <c r="AB86" s="4">
        <f t="shared" si="91"/>
        <v>1.4795519101591469E-4</v>
      </c>
      <c r="AC86">
        <f t="shared" si="92"/>
        <v>9.08316526948247E-5</v>
      </c>
      <c r="AD86">
        <f t="shared" si="93"/>
        <v>2.8594502902715134E-14</v>
      </c>
      <c r="AE86">
        <f t="shared" si="94"/>
        <v>1.0776967412014823E-14</v>
      </c>
    </row>
    <row r="87" spans="4:31" x14ac:dyDescent="0.25">
      <c r="D87">
        <v>105</v>
      </c>
      <c r="E87" s="6">
        <f t="shared" si="85"/>
        <v>0.44142534391364641</v>
      </c>
      <c r="F87" s="6">
        <f t="shared" si="86"/>
        <v>0.3921819748224501</v>
      </c>
      <c r="G87" s="5">
        <f t="shared" si="87"/>
        <v>0.45583284255087297</v>
      </c>
      <c r="I87">
        <v>103</v>
      </c>
      <c r="J87" s="9">
        <f t="shared" si="96"/>
        <v>727.01813271304297</v>
      </c>
      <c r="K87" s="9">
        <f t="shared" si="97"/>
        <v>481.76090448371781</v>
      </c>
      <c r="L87" s="9">
        <f t="shared" si="95"/>
        <v>291.34849527964707</v>
      </c>
      <c r="M87">
        <v>105</v>
      </c>
      <c r="O87">
        <v>105</v>
      </c>
      <c r="P87">
        <f t="shared" si="79"/>
        <v>0.90406879717983513</v>
      </c>
      <c r="Q87">
        <f t="shared" si="80"/>
        <v>0.8206291422409282</v>
      </c>
      <c r="R87">
        <f t="shared" si="99"/>
        <v>0.89899437857611664</v>
      </c>
      <c r="S87" s="3">
        <f t="shared" si="82"/>
        <v>0.81161800915727322</v>
      </c>
      <c r="T87">
        <f t="shared" si="83"/>
        <v>0.90777518899887366</v>
      </c>
      <c r="U87">
        <f t="shared" si="84"/>
        <v>0.82693645047236153</v>
      </c>
      <c r="W87">
        <v>105</v>
      </c>
      <c r="X87" s="4">
        <f t="shared" si="98"/>
        <v>2.121118049901551</v>
      </c>
      <c r="Y87" s="4">
        <f t="shared" si="88"/>
        <v>1.9367210310236531</v>
      </c>
      <c r="Z87" s="4">
        <f t="shared" si="89"/>
        <v>2.5158831139983621E-2</v>
      </c>
      <c r="AA87" s="5">
        <f t="shared" si="90"/>
        <v>1.9712602515938659E-2</v>
      </c>
      <c r="AB87" s="4">
        <f t="shared" si="91"/>
        <v>6.433187249496784E-5</v>
      </c>
      <c r="AC87">
        <f t="shared" si="92"/>
        <v>3.9494189149754993E-5</v>
      </c>
      <c r="AD87">
        <f t="shared" si="93"/>
        <v>1.3946929794323799E-15</v>
      </c>
      <c r="AE87">
        <f t="shared" si="94"/>
        <v>5.2564511578487426E-16</v>
      </c>
    </row>
    <row r="88" spans="4:31" x14ac:dyDescent="0.25">
      <c r="D88">
        <v>106</v>
      </c>
      <c r="E88" s="6">
        <f t="shared" si="85"/>
        <v>0.47301421097774021</v>
      </c>
      <c r="F88" s="6">
        <f t="shared" si="86"/>
        <v>0.42169214103726083</v>
      </c>
      <c r="G88" s="5">
        <f t="shared" si="87"/>
        <v>0.48794733831358084</v>
      </c>
      <c r="I88">
        <v>104</v>
      </c>
      <c r="J88" s="9">
        <f t="shared" si="96"/>
        <v>444.9615517393479</v>
      </c>
      <c r="K88" s="9">
        <f t="shared" si="97"/>
        <v>282.97338461180004</v>
      </c>
      <c r="L88" s="9">
        <f t="shared" si="95"/>
        <v>162.73988555210548</v>
      </c>
      <c r="M88">
        <v>106</v>
      </c>
      <c r="O88">
        <v>106</v>
      </c>
      <c r="P88">
        <f t="shared" si="79"/>
        <v>0.90918355781374605</v>
      </c>
      <c r="Q88">
        <f t="shared" si="80"/>
        <v>0.82946528339329018</v>
      </c>
      <c r="R88">
        <f t="shared" si="99"/>
        <v>0.90421596411480831</v>
      </c>
      <c r="S88" s="3">
        <f t="shared" si="82"/>
        <v>0.82060572997475811</v>
      </c>
      <c r="T88">
        <f t="shared" si="83"/>
        <v>0.91254962751127056</v>
      </c>
      <c r="U88">
        <f t="shared" si="84"/>
        <v>0.83523968898896062</v>
      </c>
      <c r="W88">
        <v>106</v>
      </c>
      <c r="X88" s="4">
        <f t="shared" si="98"/>
        <v>2.0114647535890255</v>
      </c>
      <c r="Y88" s="4">
        <f t="shared" si="88"/>
        <v>1.8364578222633183</v>
      </c>
      <c r="Z88" s="4">
        <f t="shared" si="89"/>
        <v>1.7840213570810341E-2</v>
      </c>
      <c r="AA88" s="5">
        <f t="shared" si="90"/>
        <v>1.3978274148115605E-2</v>
      </c>
      <c r="AB88" s="4">
        <f t="shared" si="91"/>
        <v>2.5736635781093099E-5</v>
      </c>
      <c r="AC88">
        <f t="shared" si="92"/>
        <v>1.5800061807564385E-5</v>
      </c>
      <c r="AD88">
        <f t="shared" si="93"/>
        <v>5.029146476972526E-17</v>
      </c>
      <c r="AE88">
        <f t="shared" si="94"/>
        <v>1.8954324149987484E-17</v>
      </c>
    </row>
    <row r="89" spans="4:31" x14ac:dyDescent="0.25">
      <c r="D89">
        <v>107</v>
      </c>
      <c r="E89" s="6">
        <f t="shared" si="85"/>
        <v>0.50570257410896469</v>
      </c>
      <c r="F89" s="6">
        <f t="shared" si="86"/>
        <v>0.45250120813762829</v>
      </c>
      <c r="G89" s="5">
        <f t="shared" si="87"/>
        <v>0.52108861760517389</v>
      </c>
      <c r="I89">
        <v>105</v>
      </c>
      <c r="J89" s="9">
        <f t="shared" si="96"/>
        <v>259.29074055557828</v>
      </c>
      <c r="K89" s="9">
        <f t="shared" si="97"/>
        <v>157.60158587131605</v>
      </c>
      <c r="L89" s="9">
        <f t="shared" si="95"/>
        <v>85.761606993068554</v>
      </c>
      <c r="M89">
        <v>107</v>
      </c>
      <c r="O89">
        <v>107</v>
      </c>
      <c r="P89">
        <f t="shared" ref="P89:P97" si="100">P90*(1-VLOOKUP(O89,$D$2:$G$102,2))*(1+$B$6)^(-1) + (1+$B$6)^(-1)*VLOOKUP(O89,$D$2:$G$102,2)</f>
        <v>0.91393076390215389</v>
      </c>
      <c r="Q89">
        <f t="shared" si="80"/>
        <v>0.83772897326594631</v>
      </c>
      <c r="R89">
        <f t="shared" si="99"/>
        <v>0.90908944825399818</v>
      </c>
      <c r="S89" s="3">
        <f t="shared" si="82"/>
        <v>0.82905933588753955</v>
      </c>
      <c r="T89">
        <f t="shared" si="83"/>
        <v>0.91697501435815321</v>
      </c>
      <c r="U89">
        <f t="shared" si="84"/>
        <v>0.84299128425182612</v>
      </c>
      <c r="W89">
        <v>107</v>
      </c>
      <c r="X89" s="4">
        <f t="shared" si="98"/>
        <v>1.9091215866660383</v>
      </c>
      <c r="Y89" s="4">
        <f t="shared" si="88"/>
        <v>1.7435246984787827</v>
      </c>
      <c r="Z89" s="4">
        <f t="shared" si="89"/>
        <v>1.2223078387445395E-2</v>
      </c>
      <c r="AA89" s="5">
        <f t="shared" si="90"/>
        <v>9.5771017513585632E-3</v>
      </c>
      <c r="AB89" s="4">
        <f t="shared" si="91"/>
        <v>9.3948514827930418E-6</v>
      </c>
      <c r="AC89">
        <f t="shared" si="92"/>
        <v>5.7676238403337036E-6</v>
      </c>
      <c r="AD89">
        <f t="shared" si="93"/>
        <v>1.3008029766073777E-18</v>
      </c>
      <c r="AE89">
        <f t="shared" si="94"/>
        <v>4.9025896117321447E-19</v>
      </c>
    </row>
    <row r="90" spans="4:31" x14ac:dyDescent="0.25">
      <c r="D90">
        <v>108</v>
      </c>
      <c r="E90" s="6">
        <f t="shared" si="85"/>
        <v>0.53932277914159388</v>
      </c>
      <c r="F90" s="6">
        <f t="shared" si="86"/>
        <v>0.48449884434458335</v>
      </c>
      <c r="G90" s="5">
        <f t="shared" si="87"/>
        <v>0.55507199385613359</v>
      </c>
      <c r="I90">
        <v>106</v>
      </c>
      <c r="J90" s="9">
        <f t="shared" si="96"/>
        <v>143.15533474338801</v>
      </c>
      <c r="K90" s="9">
        <f t="shared" si="97"/>
        <v>82.787855134542951</v>
      </c>
      <c r="L90" s="9">
        <f t="shared" si="95"/>
        <v>42.391741576952398</v>
      </c>
      <c r="M90">
        <v>108</v>
      </c>
      <c r="O90">
        <v>108</v>
      </c>
      <c r="P90">
        <f t="shared" si="100"/>
        <v>0.91832306666383834</v>
      </c>
      <c r="Q90">
        <f t="shared" si="80"/>
        <v>0.8454294864340709</v>
      </c>
      <c r="R90">
        <f t="shared" si="99"/>
        <v>0.91362725970965231</v>
      </c>
      <c r="S90" s="3">
        <f t="shared" si="82"/>
        <v>0.83698798274369435</v>
      </c>
      <c r="T90">
        <f t="shared" si="83"/>
        <v>0.92106443048972531</v>
      </c>
      <c r="U90">
        <f t="shared" si="84"/>
        <v>0.85020256855312537</v>
      </c>
      <c r="W90">
        <v>108</v>
      </c>
      <c r="X90" s="4">
        <f t="shared" si="98"/>
        <v>1.8138275460973017</v>
      </c>
      <c r="Y90" s="4">
        <f t="shared" si="88"/>
        <v>1.6576469597157686</v>
      </c>
      <c r="Z90" s="4">
        <f t="shared" si="89"/>
        <v>8.0637898197149418E-3</v>
      </c>
      <c r="AA90" s="5">
        <f t="shared" si="90"/>
        <v>6.3181903246486339E-3</v>
      </c>
      <c r="AB90" s="4">
        <f t="shared" si="91"/>
        <v>3.1007151820531264E-6</v>
      </c>
      <c r="AC90">
        <f t="shared" si="92"/>
        <v>1.9035701457174626E-6</v>
      </c>
    </row>
    <row r="91" spans="4:31" x14ac:dyDescent="0.25">
      <c r="D91">
        <v>109</v>
      </c>
      <c r="E91" s="6">
        <f t="shared" si="85"/>
        <v>0.57366992900454838</v>
      </c>
      <c r="F91" s="6">
        <f t="shared" si="86"/>
        <v>0.51754060368812072</v>
      </c>
      <c r="G91" s="5">
        <f t="shared" si="87"/>
        <v>0.58967518143917241</v>
      </c>
      <c r="I91">
        <v>107</v>
      </c>
      <c r="J91" s="9">
        <f t="shared" si="96"/>
        <v>74.480000844557367</v>
      </c>
      <c r="K91" s="9">
        <f t="shared" si="97"/>
        <v>40.777710480303583</v>
      </c>
      <c r="L91" s="9">
        <f t="shared" si="95"/>
        <v>19.528909697018179</v>
      </c>
      <c r="M91">
        <v>109</v>
      </c>
      <c r="O91">
        <v>109</v>
      </c>
      <c r="P91">
        <f t="shared" si="100"/>
        <v>0.92237345719778685</v>
      </c>
      <c r="Q91">
        <f t="shared" si="80"/>
        <v>0.85257792629753049</v>
      </c>
      <c r="R91">
        <f t="shared" ref="R91:R98" si="101">(1+$B$6)^(-1)*VLOOKUP(O91,$D$2:$G$102,3) + (1+$B$6)^(-2)*VLOOKUP(O91,$D$2:$G$102,4)*(1-VLOOKUP(O91,$D$2:$G$102,3)) + (1+$B$6)^(-2)*(1-VLOOKUP(O91,$D$2:$G$102,3))*(1-VLOOKUP(O91,$D$2:$G$102,4))*P93</f>
        <v>0.91784195935865276</v>
      </c>
      <c r="S91" s="3">
        <f t="shared" si="82"/>
        <v>0.84440222768627127</v>
      </c>
      <c r="T91">
        <f t="shared" si="83"/>
        <v>0.92483109884345394</v>
      </c>
      <c r="U91">
        <f t="shared" si="84"/>
        <v>0.85688631104771418</v>
      </c>
      <c r="W91">
        <v>109</v>
      </c>
      <c r="X91" s="4">
        <f t="shared" si="98"/>
        <v>1.7253188534682922</v>
      </c>
      <c r="Y91" s="4">
        <f t="shared" si="88"/>
        <v>1.5785469242874675</v>
      </c>
      <c r="Z91" s="4">
        <f t="shared" si="89"/>
        <v>5.1030951058716112E-3</v>
      </c>
      <c r="AA91" s="5">
        <f t="shared" si="90"/>
        <v>3.9984085454275384E-3</v>
      </c>
      <c r="AB91" s="4">
        <f t="shared" si="91"/>
        <v>9.1599062353810264E-7</v>
      </c>
      <c r="AC91">
        <f t="shared" si="92"/>
        <v>5.623387839091054E-7</v>
      </c>
    </row>
    <row r="92" spans="4:31" x14ac:dyDescent="0.25">
      <c r="D92">
        <v>110</v>
      </c>
      <c r="E92" s="6">
        <f t="shared" si="85"/>
        <v>0.60850148630748291</v>
      </c>
      <c r="F92" s="6">
        <f t="shared" si="86"/>
        <v>0.55144571736617398</v>
      </c>
      <c r="G92" s="5">
        <f t="shared" si="87"/>
        <v>0.62463858023513108</v>
      </c>
      <c r="I92">
        <v>108</v>
      </c>
      <c r="J92" s="9">
        <f t="shared" si="96"/>
        <v>36.299828822463304</v>
      </c>
      <c r="K92" s="9">
        <f t="shared" si="97"/>
        <v>18.712603708073637</v>
      </c>
      <c r="L92" s="9">
        <f t="shared" si="95"/>
        <v>8.3257614575935239</v>
      </c>
      <c r="M92">
        <v>110</v>
      </c>
      <c r="O92">
        <v>110</v>
      </c>
      <c r="P92">
        <f t="shared" si="100"/>
        <v>0.92609512655592185</v>
      </c>
      <c r="Q92">
        <f t="shared" si="80"/>
        <v>0.85918695315861715</v>
      </c>
      <c r="R92">
        <f t="shared" si="101"/>
        <v>0.92174608499618549</v>
      </c>
      <c r="S92" s="3">
        <f t="shared" si="82"/>
        <v>0.85131372533431127</v>
      </c>
      <c r="T92">
        <f t="shared" si="83"/>
        <v>0.92828825406564186</v>
      </c>
      <c r="U92">
        <f t="shared" si="84"/>
        <v>0.86305644556944972</v>
      </c>
      <c r="W92">
        <v>110</v>
      </c>
      <c r="X92" s="4">
        <f t="shared" si="98"/>
        <v>1.6433322150801049</v>
      </c>
      <c r="Y92" s="4">
        <f t="shared" si="88"/>
        <v>1.5059466646215209</v>
      </c>
      <c r="Z92" s="4">
        <f t="shared" si="89"/>
        <v>3.0850170699879683E-3</v>
      </c>
      <c r="AA92" s="5">
        <f t="shared" si="90"/>
        <v>2.4171915983374308E-3</v>
      </c>
      <c r="AB92" s="4">
        <f t="shared" si="91"/>
        <v>2.3953175455284447E-7</v>
      </c>
      <c r="AC92">
        <f t="shared" si="92"/>
        <v>1.4705171876386331E-7</v>
      </c>
    </row>
    <row r="93" spans="4:31" x14ac:dyDescent="0.25">
      <c r="D93">
        <v>111</v>
      </c>
      <c r="E93" s="6">
        <f t="shared" si="85"/>
        <v>0.64353845603127979</v>
      </c>
      <c r="F93" s="6">
        <f t="shared" si="86"/>
        <v>0.58599587357819916</v>
      </c>
      <c r="G93" s="5">
        <f t="shared" si="87"/>
        <v>0.65966731127581735</v>
      </c>
      <c r="I93">
        <v>109</v>
      </c>
      <c r="J93" s="9">
        <f t="shared" si="96"/>
        <v>16.465143727651125</v>
      </c>
      <c r="K93" s="9">
        <f t="shared" si="97"/>
        <v>7.9437633030308872</v>
      </c>
      <c r="L93" s="9">
        <f t="shared" si="95"/>
        <v>3.2595232360063093</v>
      </c>
      <c r="M93">
        <v>111</v>
      </c>
      <c r="O93">
        <v>111</v>
      </c>
      <c r="P93">
        <f t="shared" si="100"/>
        <v>0.92950134891710179</v>
      </c>
      <c r="Q93">
        <f t="shared" si="80"/>
        <v>0.86527053795138686</v>
      </c>
      <c r="R93">
        <f t="shared" si="101"/>
        <v>0.9253520206165986</v>
      </c>
      <c r="S93" s="3">
        <f t="shared" si="82"/>
        <v>0.85773495227209506</v>
      </c>
      <c r="T93">
        <f t="shared" si="83"/>
        <v>0.93144904472846579</v>
      </c>
      <c r="U93">
        <f t="shared" si="84"/>
        <v>0.86872784194270469</v>
      </c>
      <c r="W93">
        <v>111</v>
      </c>
      <c r="X93" s="4">
        <f t="shared" si="98"/>
        <v>1.5676075670514293</v>
      </c>
      <c r="Y93" s="4">
        <f t="shared" si="88"/>
        <v>1.4395700607022184</v>
      </c>
      <c r="Z93" s="4">
        <f t="shared" si="89"/>
        <v>1.7734701023778561E-3</v>
      </c>
      <c r="AA93" s="5">
        <f t="shared" si="90"/>
        <v>1.389560230662547E-3</v>
      </c>
      <c r="AB93" s="4">
        <f t="shared" si="91"/>
        <v>5.4774997957616204E-8</v>
      </c>
      <c r="AC93">
        <f t="shared" si="92"/>
        <v>3.3627097208848614E-8</v>
      </c>
    </row>
    <row r="94" spans="4:31" x14ac:dyDescent="0.25">
      <c r="D94">
        <v>112</v>
      </c>
      <c r="E94" s="6">
        <f t="shared" si="85"/>
        <v>0.67846851470202507</v>
      </c>
      <c r="F94" s="6">
        <f t="shared" si="86"/>
        <v>0.62093533908816267</v>
      </c>
      <c r="G94" s="5">
        <f t="shared" si="87"/>
        <v>0.69443535756025543</v>
      </c>
      <c r="I94">
        <v>110</v>
      </c>
      <c r="J94" s="9">
        <f t="shared" si="96"/>
        <v>6.9008426440090131</v>
      </c>
      <c r="K94" s="9">
        <f t="shared" si="97"/>
        <v>3.0954025217523782</v>
      </c>
      <c r="L94" s="9">
        <f t="shared" si="95"/>
        <v>1.1618946853087282</v>
      </c>
      <c r="M94">
        <v>112</v>
      </c>
      <c r="O94">
        <v>112</v>
      </c>
      <c r="P94">
        <f t="shared" si="100"/>
        <v>0.93260539869301839</v>
      </c>
      <c r="Q94">
        <f t="shared" si="80"/>
        <v>0.87084376228635785</v>
      </c>
      <c r="R94">
        <f t="shared" si="101"/>
        <v>0.92867190326343774</v>
      </c>
      <c r="S94" s="3">
        <f t="shared" si="82"/>
        <v>0.86367898372354901</v>
      </c>
      <c r="T94">
        <f t="shared" si="83"/>
        <v>0.93432650378564253</v>
      </c>
      <c r="U94">
        <f t="shared" si="84"/>
        <v>0.87391618007909466</v>
      </c>
      <c r="W94">
        <v>112</v>
      </c>
      <c r="X94" s="4">
        <f t="shared" si="98"/>
        <v>1.4978900314678076</v>
      </c>
      <c r="Y94" s="4">
        <f t="shared" si="88"/>
        <v>1.379143420501507</v>
      </c>
      <c r="Z94" s="4">
        <f t="shared" si="89"/>
        <v>9.6459898684614061E-4</v>
      </c>
      <c r="AA94" s="5">
        <f t="shared" si="90"/>
        <v>7.5578854634291619E-4</v>
      </c>
      <c r="AB94" s="4">
        <f t="shared" si="91"/>
        <v>1.0807458382943487E-8</v>
      </c>
      <c r="AC94">
        <f t="shared" si="92"/>
        <v>6.634841938379189E-9</v>
      </c>
    </row>
    <row r="95" spans="4:31" x14ac:dyDescent="0.25">
      <c r="D95">
        <v>113</v>
      </c>
      <c r="E95" s="6">
        <f t="shared" si="85"/>
        <v>0.71295141400299489</v>
      </c>
      <c r="F95" s="6">
        <f t="shared" si="86"/>
        <v>0.65597279295379096</v>
      </c>
      <c r="G95" s="5">
        <f t="shared" si="87"/>
        <v>0.72859210422352783</v>
      </c>
      <c r="I95">
        <v>111</v>
      </c>
      <c r="J95" s="9">
        <f t="shared" si="96"/>
        <v>2.6514408149507322</v>
      </c>
      <c r="K95" s="9">
        <f t="shared" si="97"/>
        <v>1.0977074383527858</v>
      </c>
      <c r="L95" s="9">
        <f t="shared" si="95"/>
        <v>0.37358572392713857</v>
      </c>
      <c r="M95">
        <v>113</v>
      </c>
      <c r="O95">
        <v>113</v>
      </c>
      <c r="P95">
        <f t="shared" si="100"/>
        <v>0.93542053477877096</v>
      </c>
      <c r="Q95">
        <f t="shared" si="80"/>
        <v>0.87592272015812522</v>
      </c>
      <c r="R95">
        <f t="shared" si="101"/>
        <v>0.9317176108784101</v>
      </c>
      <c r="S95" s="3">
        <f t="shared" si="82"/>
        <v>0.86915939324464841</v>
      </c>
      <c r="T95">
        <f t="shared" si="83"/>
        <v>0.93693374206082725</v>
      </c>
      <c r="U95">
        <f t="shared" si="84"/>
        <v>0.87863817717716974</v>
      </c>
      <c r="W95">
        <v>113</v>
      </c>
      <c r="X95" s="4">
        <f t="shared" si="98"/>
        <v>1.4339301715533881</v>
      </c>
      <c r="Y95" s="4">
        <f t="shared" si="88"/>
        <v>1.3243914167226278</v>
      </c>
      <c r="Z95" s="4">
        <f t="shared" si="89"/>
        <v>4.9365327713872249E-4</v>
      </c>
      <c r="AA95" s="5">
        <f t="shared" si="90"/>
        <v>3.86790259801095E-4</v>
      </c>
      <c r="AB95" s="4"/>
    </row>
    <row r="96" spans="4:31" x14ac:dyDescent="0.25">
      <c r="D96">
        <v>114</v>
      </c>
      <c r="E96" s="6">
        <f t="shared" si="85"/>
        <v>0.74662689852881892</v>
      </c>
      <c r="F96" s="6">
        <f t="shared" si="86"/>
        <v>0.69078523010524262</v>
      </c>
      <c r="G96" s="5">
        <f t="shared" si="87"/>
        <v>0.76177145726487083</v>
      </c>
      <c r="I96">
        <v>112</v>
      </c>
      <c r="J96" s="9">
        <f t="shared" si="96"/>
        <v>0.92582581432166233</v>
      </c>
      <c r="K96" s="9">
        <f t="shared" si="97"/>
        <v>0.35094784836926662</v>
      </c>
      <c r="L96" s="9">
        <f t="shared" si="95"/>
        <v>0.10723725380195265</v>
      </c>
      <c r="M96">
        <v>114</v>
      </c>
      <c r="O96">
        <v>114</v>
      </c>
      <c r="P96">
        <f t="shared" si="100"/>
        <v>0.93796019436766609</v>
      </c>
      <c r="Q96">
        <f t="shared" si="80"/>
        <v>0.88052475191072832</v>
      </c>
      <c r="R96">
        <f t="shared" si="101"/>
        <v>0.93450102687051462</v>
      </c>
      <c r="S96" s="3">
        <f t="shared" si="82"/>
        <v>0.87419059008561262</v>
      </c>
      <c r="T96">
        <f t="shared" si="83"/>
        <v>0.93928517129906408</v>
      </c>
      <c r="U96">
        <f t="shared" si="84"/>
        <v>0.88291350234358301</v>
      </c>
      <c r="W96">
        <v>114</v>
      </c>
      <c r="X96" s="4">
        <f t="shared" si="98"/>
        <v>1.3754784357191931</v>
      </c>
      <c r="Y96" s="4">
        <f t="shared" si="88"/>
        <v>1.2750114027196544</v>
      </c>
      <c r="Z96" s="4">
        <f t="shared" si="89"/>
        <v>2.3626792641009541E-4</v>
      </c>
      <c r="AA96" s="5">
        <f t="shared" si="90"/>
        <v>1.8512210263955408E-4</v>
      </c>
      <c r="AB96" s="4"/>
    </row>
    <row r="97" spans="4:28" x14ac:dyDescent="0.25">
      <c r="D97">
        <v>115</v>
      </c>
      <c r="E97" s="6">
        <f t="shared" si="85"/>
        <v>0.77912522873271195</v>
      </c>
      <c r="F97" s="6">
        <f t="shared" si="86"/>
        <v>0.72502423768280444</v>
      </c>
      <c r="G97" s="5">
        <f t="shared" si="87"/>
        <v>0.79360354110449471</v>
      </c>
      <c r="I97">
        <v>113</v>
      </c>
      <c r="J97" s="9">
        <f t="shared" si="96"/>
        <v>0.29099861613274003</v>
      </c>
      <c r="K97" s="9">
        <f t="shared" si="97"/>
        <v>0.10011144116245844</v>
      </c>
      <c r="L97" s="9">
        <f t="shared" si="95"/>
        <v>2.7171035589052948E-2</v>
      </c>
      <c r="M97">
        <v>115</v>
      </c>
      <c r="O97">
        <v>115</v>
      </c>
      <c r="P97">
        <f t="shared" si="100"/>
        <v>0.94023913420157257</v>
      </c>
      <c r="Q97">
        <f t="shared" ref="Q97:Q98" si="102">Q98*(1-VLOOKUP(O97,$D$2:$G$102,2))*(1+$B$6)^(-2) + (1+$B$6)^(-2)*VLOOKUP(O97,$D$2:$G$102,2)</f>
        <v>0.88467023196720196</v>
      </c>
      <c r="R97">
        <f t="shared" si="101"/>
        <v>0.93703562848774979</v>
      </c>
      <c r="S97" s="3">
        <f t="shared" si="82"/>
        <v>0.878790322194544</v>
      </c>
      <c r="T97">
        <f t="shared" si="83"/>
        <v>0.941403598804188</v>
      </c>
      <c r="U97">
        <f t="shared" si="84"/>
        <v>0.88677667617627576</v>
      </c>
      <c r="W97">
        <v>115</v>
      </c>
      <c r="X97" s="4">
        <f t="shared" si="98"/>
        <v>1.3222518017572544</v>
      </c>
      <c r="Y97" s="4">
        <f t="shared" si="88"/>
        <v>1.230524425112052</v>
      </c>
      <c r="Z97" s="4">
        <f t="shared" si="89"/>
        <v>1.0504751654558105E-4</v>
      </c>
      <c r="AA97" s="5">
        <f t="shared" si="90"/>
        <v>8.2307477935991127E-5</v>
      </c>
      <c r="AB97" s="4"/>
    </row>
    <row r="98" spans="4:28" x14ac:dyDescent="0.25">
      <c r="D98">
        <v>116</v>
      </c>
      <c r="E98" s="6">
        <f t="shared" si="85"/>
        <v>0.810080185017929</v>
      </c>
      <c r="F98" s="6">
        <f t="shared" si="86"/>
        <v>0.75832483836791575</v>
      </c>
      <c r="G98" s="5">
        <f t="shared" si="87"/>
        <v>0.82372872961784394</v>
      </c>
      <c r="I98">
        <v>114</v>
      </c>
      <c r="J98" s="9">
        <f t="shared" si="96"/>
        <v>8.1470105701538773E-2</v>
      </c>
      <c r="K98" s="9">
        <f t="shared" si="97"/>
        <v>2.5191759987802872E-2</v>
      </c>
      <c r="L98" s="9">
        <f t="shared" si="95"/>
        <v>6.0013962708274134E-3</v>
      </c>
      <c r="M98">
        <v>116</v>
      </c>
      <c r="O98">
        <v>116</v>
      </c>
      <c r="P98">
        <f>P99*(1-VLOOKUP(O98,$D$2:$G$102,2))*(1+$B$6)^(-1) + (1+$B$6)^(-1)*VLOOKUP(O98,$D$2:$G$102,2)</f>
        <v>0.94227992171672292</v>
      </c>
      <c r="Q98">
        <f t="shared" si="102"/>
        <v>0.88839345881504639</v>
      </c>
      <c r="R98">
        <f t="shared" si="101"/>
        <v>0.93934582682599133</v>
      </c>
      <c r="S98" s="3">
        <f t="shared" si="82"/>
        <v>0.88299534067005447</v>
      </c>
      <c r="T98">
        <f t="shared" si="83"/>
        <v>0.94336661765206431</v>
      </c>
      <c r="U98">
        <f t="shared" si="84"/>
        <v>0.89035845995790086</v>
      </c>
      <c r="W98">
        <v>116</v>
      </c>
      <c r="X98" s="4">
        <f t="shared" si="98"/>
        <v>1.2737376366541822</v>
      </c>
      <c r="Y98" s="4">
        <f t="shared" si="88"/>
        <v>1.1893010293066495</v>
      </c>
      <c r="Z98" s="4">
        <f t="shared" si="89"/>
        <v>4.3069012221674956E-5</v>
      </c>
      <c r="AA98" s="5">
        <f t="shared" si="90"/>
        <v>3.3745698039632183E-5</v>
      </c>
      <c r="AB98" s="4"/>
    </row>
    <row r="99" spans="4:28" x14ac:dyDescent="0.25">
      <c r="D99">
        <v>117</v>
      </c>
      <c r="E99" s="6">
        <f t="shared" si="85"/>
        <v>0.83914414965749318</v>
      </c>
      <c r="F99" s="6">
        <f t="shared" si="86"/>
        <v>0.79031692301355494</v>
      </c>
      <c r="G99" s="5">
        <f t="shared" si="87"/>
        <v>0.85181346052799845</v>
      </c>
      <c r="I99">
        <v>115</v>
      </c>
      <c r="J99" s="9">
        <f t="shared" si="96"/>
        <v>2.0082876888756634E-2</v>
      </c>
      <c r="K99" s="9">
        <f t="shared" si="97"/>
        <v>5.5223043820082432E-3</v>
      </c>
      <c r="L99" s="9">
        <f t="shared" si="95"/>
        <v>1.1397840693896332E-3</v>
      </c>
      <c r="M99">
        <v>117</v>
      </c>
      <c r="O99">
        <v>117</v>
      </c>
      <c r="P99">
        <f>P100*(1-VLOOKUP(O99,$D$2:$G$102,2))*(1+$B$6)^(-1) + (1+$B$6)^(-1)*VLOOKUP(O99,$D$2:$G$102,2)</f>
        <v>0.94415494666292665</v>
      </c>
      <c r="Q99">
        <f>Q100*(1-VLOOKUP(O99,$D$2:$G$102,2))*(1+$B$6)^(-2) + (1+$B$6)^(-2)*VLOOKUP(O99,$D$2:$G$102,2)</f>
        <v>0.89181638757203452</v>
      </c>
      <c r="R99" s="3">
        <f>(1+$B$6)^(-1)*VLOOKUP(O99,$D$2:$G$102,3) + (1+$B$6)^(-2)*VLOOKUP(O99,$D$2:$G$102,4)*(1-VLOOKUP(O99,$D$2:$G$102,3)) + (1+$B$6)^(-2)*(1-VLOOKUP(O99,$D$2:$G$102,3))*(1-VLOOKUP(O99,$D$2:$G$102,4))*P101</f>
        <v>0.94152944863836596</v>
      </c>
      <c r="S99" s="3">
        <f>(1+$B$6)^(-2)*VLOOKUP(O99,$D$2:$G$102,3) + (1+$B$6)^(-4)*VLOOKUP(O99,$D$2:$G$102,4)*(1-VLOOKUP(O99,$D$2:$G$102,3)) + (1+$B$6)^(-4)*(1-VLOOKUP(O99,$D$2:$G$102,3))*(1-VLOOKUP(O99,$D$2:$G$102,4))*Q101</f>
        <v>0.88697091033486708</v>
      </c>
      <c r="T99">
        <f>(1+$B$6)^(-1)*VLOOKUP(O99,$D$2:$G$102,4) + (1+$B$6)^(-1)*(1-VLOOKUP(O99,$D$2:$G$102,4))*P101</f>
        <v>0.94566047440036272</v>
      </c>
      <c r="U99">
        <f>(1+$B$6)^(-2)*VLOOKUP(O99,$D$2:$G$102,4) + (1+$B$6)^(-2)*(1-VLOOKUP(O99,$D$2:$G$102,4))*Q101</f>
        <v>0.89453335160071756</v>
      </c>
      <c r="W99">
        <v>117</v>
      </c>
      <c r="X99" s="4">
        <f t="shared" si="98"/>
        <v>1.2278815785943149</v>
      </c>
      <c r="Y99" s="4">
        <f t="shared" si="88"/>
        <v>1.141130037592383</v>
      </c>
      <c r="Z99" s="4">
        <f t="shared" si="89"/>
        <v>1.6151837828075511E-5</v>
      </c>
      <c r="AA99" s="5">
        <f t="shared" si="90"/>
        <v>1.2655387574852244E-5</v>
      </c>
      <c r="AB99" s="4"/>
    </row>
    <row r="100" spans="4:28" x14ac:dyDescent="0.25">
      <c r="D100">
        <v>118</v>
      </c>
      <c r="E100" s="6">
        <f t="shared" si="85"/>
        <v>0.86600453461243287</v>
      </c>
      <c r="F100" s="6">
        <f t="shared" si="86"/>
        <v>0.82063905614412547</v>
      </c>
      <c r="G100" s="5">
        <f t="shared" si="87"/>
        <v>0.87756694106512656</v>
      </c>
      <c r="I100">
        <v>116</v>
      </c>
      <c r="J100" s="9">
        <f t="shared" si="96"/>
        <v>4.3037386588684412E-3</v>
      </c>
      <c r="K100" s="9">
        <f t="shared" si="97"/>
        <v>1.0401067360042799E-3</v>
      </c>
      <c r="L100" s="9">
        <f t="shared" si="95"/>
        <v>1.8334093568851226E-4</v>
      </c>
      <c r="M100">
        <v>118</v>
      </c>
      <c r="O100">
        <v>118</v>
      </c>
      <c r="P100">
        <f>P101*(1-VLOOKUP(O100,$D$2:$G$102,2))*(1+$B$6)^(-1) + (1+$B$6)^(-1)*VLOOKUP(O100,$D$2:$G$102,2)</f>
        <v>0.94630406052664084</v>
      </c>
      <c r="Q100">
        <f>Q101*(1-VLOOKUP(O100,$D$2:$G$102,2))*(1+$B$6)^(-2) + (1+$B$6)^(-2)*VLOOKUP(O100,$D$2:$G$102,2)</f>
        <v>0.89573004235706255</v>
      </c>
      <c r="W100">
        <v>118</v>
      </c>
      <c r="X100" s="4"/>
      <c r="Y100" s="4"/>
      <c r="Z100" s="4"/>
      <c r="AA100" s="5"/>
      <c r="AB100" s="4"/>
    </row>
    <row r="101" spans="4:28" x14ac:dyDescent="0.25">
      <c r="D101">
        <v>119</v>
      </c>
      <c r="E101" s="6">
        <f t="shared" si="85"/>
        <v>0.89040047648785814</v>
      </c>
      <c r="F101" s="6">
        <f t="shared" si="86"/>
        <v>0.84895413860475566</v>
      </c>
      <c r="G101" s="5">
        <f t="shared" si="87"/>
        <v>0.90075751309300645</v>
      </c>
      <c r="I101">
        <v>117</v>
      </c>
      <c r="J101" s="9">
        <f t="shared" si="96"/>
        <v>7.9063749718885244E-4</v>
      </c>
      <c r="K101" s="9">
        <f t="shared" si="97"/>
        <v>1.6578330319142037E-4</v>
      </c>
      <c r="L101" s="9">
        <f t="shared" si="95"/>
        <v>2.4566854002174216E-5</v>
      </c>
      <c r="M101">
        <v>119</v>
      </c>
      <c r="O101">
        <v>119</v>
      </c>
      <c r="P101">
        <f>(1+$B$6)^(-1)</f>
        <v>0.95238095238095233</v>
      </c>
      <c r="Q101">
        <f>(1+$B$6)^(-2)</f>
        <v>0.90702947845804982</v>
      </c>
      <c r="W101">
        <v>119</v>
      </c>
      <c r="X101" s="4"/>
      <c r="Y101" s="4"/>
      <c r="Z101" s="4"/>
      <c r="AA101" s="5"/>
      <c r="AB101" s="4"/>
    </row>
    <row r="102" spans="4:28" x14ac:dyDescent="0.25">
      <c r="D102">
        <v>120</v>
      </c>
      <c r="E102" s="6">
        <f t="shared" si="85"/>
        <v>0.91213840416320435</v>
      </c>
      <c r="F102" s="6">
        <f t="shared" si="86"/>
        <v>0.87496607204332788</v>
      </c>
      <c r="G102" s="5">
        <f t="shared" si="87"/>
        <v>0.92122716589034304</v>
      </c>
      <c r="I102">
        <v>118</v>
      </c>
      <c r="J102" s="9">
        <f t="shared" si="96"/>
        <v>1.2261161983698259E-4</v>
      </c>
      <c r="K102" s="9">
        <f t="shared" si="97"/>
        <v>2.1991735861658866E-5</v>
      </c>
      <c r="L102" s="9">
        <f t="shared" si="95"/>
        <v>2.6925154928306496E-6</v>
      </c>
      <c r="M102">
        <v>120</v>
      </c>
      <c r="O102">
        <v>120</v>
      </c>
      <c r="W102">
        <v>120</v>
      </c>
      <c r="X102" s="4"/>
      <c r="Y102" s="4"/>
      <c r="Z102" s="4"/>
      <c r="AA102" s="5"/>
      <c r="AB102" s="4"/>
    </row>
  </sheetData>
  <mergeCells count="1">
    <mergeCell ref="A1:B1"/>
  </mergeCells>
  <pageMargins left="0.7" right="0.7" top="0.75" bottom="0.75" header="0.3" footer="0.3"/>
  <pageSetup orientation="portrait" verticalDpi="0" r:id="rId1"/>
  <ignoredErrors>
    <ignoredError sqref="Q101 AM42 AM2 AM3:AM41 CP1:CP4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HideLifeTable">
                <anchor moveWithCells="1">
                  <from>
                    <xdr:col>0</xdr:col>
                    <xdr:colOff>161925</xdr:colOff>
                    <xdr:row>11</xdr:row>
                    <xdr:rowOff>66675</xdr:rowOff>
                  </from>
                  <to>
                    <xdr:col>1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macro="[0]!HideMortTable">
                <anchor moveWithCells="1">
                  <from>
                    <xdr:col>0</xdr:col>
                    <xdr:colOff>142875</xdr:colOff>
                    <xdr:row>14</xdr:row>
                    <xdr:rowOff>142875</xdr:rowOff>
                  </from>
                  <to>
                    <xdr:col>1</xdr:col>
                    <xdr:colOff>419100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macro="[0]!HideInsuranceTable">
                <anchor moveWithCells="1">
                  <from>
                    <xdr:col>0</xdr:col>
                    <xdr:colOff>161925</xdr:colOff>
                    <xdr:row>12</xdr:row>
                    <xdr:rowOff>104775</xdr:rowOff>
                  </from>
                  <to>
                    <xdr:col>1</xdr:col>
                    <xdr:colOff>438150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HideAnnuityTable">
                <anchor moveWithCells="1">
                  <from>
                    <xdr:col>0</xdr:col>
                    <xdr:colOff>152400</xdr:colOff>
                    <xdr:row>13</xdr:row>
                    <xdr:rowOff>123825</xdr:rowOff>
                  </from>
                  <to>
                    <xdr:col>1</xdr:col>
                    <xdr:colOff>523875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 macro="[0]!HideRetirementAnnuities">
                <anchor moveWithCells="1">
                  <from>
                    <xdr:col>0</xdr:col>
                    <xdr:colOff>161925</xdr:colOff>
                    <xdr:row>15</xdr:row>
                    <xdr:rowOff>171450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 macro="[0]!HidePremiumTable">
                <anchor moveWithCells="1">
                  <from>
                    <xdr:col>0</xdr:col>
                    <xdr:colOff>171450</xdr:colOff>
                    <xdr:row>17</xdr:row>
                    <xdr:rowOff>9525</xdr:rowOff>
                  </from>
                  <to>
                    <xdr:col>1</xdr:col>
                    <xdr:colOff>647700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0]!HideVarianceTable">
                <anchor moveWithCells="1">
                  <from>
                    <xdr:col>0</xdr:col>
                    <xdr:colOff>190500</xdr:colOff>
                    <xdr:row>18</xdr:row>
                    <xdr:rowOff>66675</xdr:rowOff>
                  </from>
                  <to>
                    <xdr:col>1</xdr:col>
                    <xdr:colOff>676275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Check Box 20">
              <controlPr defaultSize="0" autoFill="0" autoLine="0" autoPict="0" macro="[0]!HidePortfolioTable">
                <anchor moveWithCells="1">
                  <from>
                    <xdr:col>0</xdr:col>
                    <xdr:colOff>200025</xdr:colOff>
                    <xdr:row>19</xdr:row>
                    <xdr:rowOff>85725</xdr:rowOff>
                  </from>
                  <to>
                    <xdr:col>1</xdr:col>
                    <xdr:colOff>590550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0" sqref="A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PremiumTable</vt:lpstr>
      <vt:lpstr>Graphs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</dc:creator>
  <cp:lastModifiedBy>nate</cp:lastModifiedBy>
  <dcterms:created xsi:type="dcterms:W3CDTF">2014-10-16T03:42:31Z</dcterms:created>
  <dcterms:modified xsi:type="dcterms:W3CDTF">2014-10-17T16:10:55Z</dcterms:modified>
</cp:coreProperties>
</file>